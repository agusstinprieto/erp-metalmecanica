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tables/table1.xml" ContentType="application/vnd.openxmlformats-officedocument.spreadsheetml.table+xml"/>
  <Override PartName="/xl/ink/ink1.xml" ContentType="application/inkml+xml"/>
  <Override PartName="/xl/ink/ink2.xml" ContentType="application/inkml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USER\Desktop\Cambios por JH\"/>
    </mc:Choice>
  </mc:AlternateContent>
  <xr:revisionPtr revIDLastSave="0" documentId="13_ncr:1_{72823FA6-DEE3-4E92-875F-9BC4BA50A6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T-IG-01" sheetId="5" r:id="rId1"/>
    <sheet name="REV01INGH2" sheetId="7" state="hidden" r:id="rId2"/>
  </sheets>
  <definedNames>
    <definedName name="_xlnm.Print_Area" localSheetId="0">'FT-IG-01'!$A$1:$J$93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5" l="1"/>
  <c r="F49" i="5" l="1"/>
  <c r="G49" i="5" s="1"/>
  <c r="H49" i="5" s="1"/>
  <c r="D45" i="5"/>
  <c r="F50" i="5"/>
  <c r="G50" i="5" s="1"/>
  <c r="H50" i="5" s="1"/>
  <c r="F51" i="5"/>
  <c r="G51" i="5" s="1"/>
  <c r="H51" i="5" s="1"/>
  <c r="F52" i="5"/>
  <c r="F53" i="5"/>
  <c r="G53" i="5" s="1"/>
  <c r="H53" i="5" s="1"/>
  <c r="F54" i="5"/>
  <c r="G54" i="5" s="1"/>
  <c r="H54" i="5" s="1"/>
  <c r="F55" i="5"/>
  <c r="G55" i="5" s="1"/>
  <c r="H55" i="5" s="1"/>
  <c r="F56" i="5"/>
  <c r="G56" i="5" s="1"/>
  <c r="H56" i="5" s="1"/>
  <c r="F57" i="5"/>
  <c r="G57" i="5" s="1"/>
  <c r="H57" i="5" s="1"/>
  <c r="F58" i="5"/>
  <c r="G58" i="5" s="1"/>
  <c r="H58" i="5" s="1"/>
  <c r="F59" i="5"/>
  <c r="G59" i="5" s="1"/>
  <c r="H59" i="5" s="1"/>
  <c r="F60" i="5"/>
  <c r="G60" i="5" s="1"/>
  <c r="H60" i="5" s="1"/>
  <c r="F61" i="5"/>
  <c r="G61" i="5" s="1"/>
  <c r="H61" i="5" s="1"/>
  <c r="F62" i="5"/>
  <c r="G62" i="5" s="1"/>
  <c r="H62" i="5" s="1"/>
  <c r="F63" i="5"/>
  <c r="G63" i="5" s="1"/>
  <c r="H63" i="5" s="1"/>
  <c r="F64" i="5"/>
  <c r="G64" i="5" s="1"/>
  <c r="H64" i="5" s="1"/>
  <c r="F65" i="5"/>
  <c r="G65" i="5" s="1"/>
  <c r="H65" i="5" s="1"/>
  <c r="F66" i="5"/>
  <c r="G66" i="5" s="1"/>
  <c r="H66" i="5" s="1"/>
  <c r="F67" i="5"/>
  <c r="G67" i="5" s="1"/>
  <c r="H67" i="5" s="1"/>
  <c r="F68" i="5"/>
  <c r="G68" i="5" s="1"/>
  <c r="H68" i="5" s="1"/>
  <c r="G52" i="5" l="1"/>
  <c r="H52" i="5" s="1"/>
  <c r="F45" i="5" l="1"/>
  <c r="I45" i="5" s="1"/>
  <c r="F47" i="5"/>
  <c r="F46" i="5"/>
</calcChain>
</file>

<file path=xl/sharedStrings.xml><?xml version="1.0" encoding="utf-8"?>
<sst xmlns="http://schemas.openxmlformats.org/spreadsheetml/2006/main" count="157" uniqueCount="90">
  <si>
    <t>Responsable</t>
  </si>
  <si>
    <t>Produccion</t>
  </si>
  <si>
    <t>F. ACABADOS, EMPAQUE Y TRANSPORTE</t>
  </si>
  <si>
    <t>Descripción</t>
  </si>
  <si>
    <t xml:space="preserve">Cliente: </t>
  </si>
  <si>
    <t xml:space="preserve">Nombre del Contacto: </t>
  </si>
  <si>
    <t xml:space="preserve">Correo:  </t>
  </si>
  <si>
    <t>FT-SC-21 Rev.15</t>
  </si>
  <si>
    <t>Fecha</t>
  </si>
  <si>
    <t>Rev</t>
  </si>
  <si>
    <t>¿Material, Hardware Suministrado por el cliente?</t>
  </si>
  <si>
    <t>¿Requisitos de soldadura Especiales?</t>
  </si>
  <si>
    <t>¿Material con dificultad de Adquirir?</t>
  </si>
  <si>
    <t>Acabado Superficial</t>
  </si>
  <si>
    <t>PROCESO</t>
  </si>
  <si>
    <t>Oxicorte</t>
  </si>
  <si>
    <t>Rebabeo</t>
  </si>
  <si>
    <t>Doblez</t>
  </si>
  <si>
    <t>Biselado</t>
  </si>
  <si>
    <t>Rolado</t>
  </si>
  <si>
    <t>Enderezado</t>
  </si>
  <si>
    <t>Sierra-Cinta</t>
  </si>
  <si>
    <t>Marcado</t>
  </si>
  <si>
    <t>Maquinado</t>
  </si>
  <si>
    <t>Detallado</t>
  </si>
  <si>
    <t>Pintura</t>
  </si>
  <si>
    <t>PUNZONADO</t>
  </si>
  <si>
    <t>ARMADO</t>
  </si>
  <si>
    <t>SOLDADURA</t>
  </si>
  <si>
    <t>CAPACIDAD</t>
  </si>
  <si>
    <t>HERRAMIENTA</t>
  </si>
  <si>
    <t>DISPONIBILIDAD</t>
  </si>
  <si>
    <t>MONTACARGAS</t>
  </si>
  <si>
    <t>EAU</t>
  </si>
  <si>
    <t>PUNTUAJE</t>
  </si>
  <si>
    <t>AGREGAR OTRO</t>
  </si>
  <si>
    <t>NIVEL DE FACTIBILIDAD</t>
  </si>
  <si>
    <t>FACTIBLE</t>
  </si>
  <si>
    <t>REQUERIDO</t>
  </si>
  <si>
    <t>Factible</t>
  </si>
  <si>
    <t>PocoFactible</t>
  </si>
  <si>
    <t>No Factible</t>
  </si>
  <si>
    <t>Procesos Seleccionados</t>
  </si>
  <si>
    <t>Factibilidad</t>
  </si>
  <si>
    <t>Sinproceso</t>
  </si>
  <si>
    <t>NoFactible</t>
  </si>
  <si>
    <t>Datos</t>
  </si>
  <si>
    <t>INFORMACION Y DESCRIPCION GENERAL</t>
  </si>
  <si>
    <t>PROCESOS</t>
  </si>
  <si>
    <t xml:space="preserve">Comentarios </t>
  </si>
  <si>
    <t>Ingenieria</t>
  </si>
  <si>
    <t>Calidad</t>
  </si>
  <si>
    <t>Planeacion</t>
  </si>
  <si>
    <t xml:space="preserve">El transporte de producto es responsabilidad de:   </t>
  </si>
  <si>
    <t>OK</t>
  </si>
  <si>
    <t>NO OK</t>
  </si>
  <si>
    <t>Seleccionar</t>
  </si>
  <si>
    <t>Factibilidad de Proyectos</t>
  </si>
  <si>
    <t>ITEM</t>
  </si>
  <si>
    <t>PN</t>
  </si>
  <si>
    <t>REV</t>
  </si>
  <si>
    <t>DESCRIPTION</t>
  </si>
  <si>
    <t>FW (KG)</t>
  </si>
  <si>
    <t>MATERIAL</t>
  </si>
  <si>
    <t>PN / LISTADO</t>
  </si>
  <si>
    <t>RFQ</t>
  </si>
  <si>
    <t># de Cotización</t>
  </si>
  <si>
    <t>Información Compartida por Cliente</t>
  </si>
  <si>
    <t>REVISIÓN DE INFORMACIÓN RECIBIDA, MATERIALES</t>
  </si>
  <si>
    <t xml:space="preserve">Coordinador de proyectos </t>
  </si>
  <si>
    <t xml:space="preserve">Revisión de BOM vs Dibujos:  </t>
  </si>
  <si>
    <t>Características Especiales de los dibujos</t>
  </si>
  <si>
    <t>Plan de mitigación</t>
  </si>
  <si>
    <t>IDENTIFICACIÓN DE PROCESOS</t>
  </si>
  <si>
    <t>Láser</t>
  </si>
  <si>
    <t>GRÚA</t>
  </si>
  <si>
    <t>¿Se solicitan pruebas de funcionalidad o ensamble requieren los planos y/o especificaciones?</t>
  </si>
  <si>
    <t xml:space="preserve">Características especiales del proceso a controlar:  </t>
  </si>
  <si>
    <t xml:space="preserve">Es necesario algún equipo de medición o infraestructura especial: </t>
  </si>
  <si>
    <t xml:space="preserve">Cuál es el tipo de preparación de superficie requerido:  </t>
  </si>
  <si>
    <t xml:space="preserve">Cuál es el tipo de acabado requerido: </t>
  </si>
  <si>
    <t xml:space="preserve">Cuál es el diseño de empaque requerido para la conservación del producto:  </t>
  </si>
  <si>
    <t>Cordinador</t>
  </si>
  <si>
    <t>Seleccionar la casilla correspondiente a la pregunta, colocar un comentario general de la misma y generar un plan de mitigación en caso de requerirlo</t>
  </si>
  <si>
    <t xml:space="preserve">Seleccionar el proceso requerido para la manufactura de la pieza marcando con una X en la casilla respondiente al proceso requerido, después pasar a colocar el nivel de factibilidad por medio de los números 0 - 1 - 2 dependiendo de la disponibilidad del proceso, herramienta y capacidad de las mismas. En caso de requerirlo presentar un plan de mitigación	</t>
  </si>
  <si>
    <t>Sistema de calidad de McVILL</t>
  </si>
  <si>
    <t>Requisitos legales y reglamentarios aplicable (ej. Origen de materiales, certificados de seguridad)</t>
  </si>
  <si>
    <t>Otros que se consideren necesarios por Mcvill (ingenieria, holgura para desviaciones, inspeccion en sitio, apoyo tecnico)</t>
  </si>
  <si>
    <t>FT-IG-01 rev.1</t>
  </si>
  <si>
    <t>06/26/2025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</si>
</sst>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5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Rockwell"/>
      <family val="1"/>
    </font>
    <font>
      <sz val="12"/>
      <color theme="1"/>
      <name val="Rockwell"/>
      <family val="1"/>
    </font>
    <font>
      <b/>
      <sz val="12"/>
      <color rgb="FFFFFF00"/>
      <name val="Rockwell"/>
      <family val="1"/>
    </font>
    <font>
      <b/>
      <sz val="12"/>
      <color theme="1"/>
      <name val="Rockwell"/>
      <family val="1"/>
    </font>
    <font>
      <b/>
      <sz val="18"/>
      <color rgb="FFFFFF00"/>
      <name val="Rockwell"/>
      <family val="1"/>
    </font>
    <font>
      <sz val="11"/>
      <color theme="1"/>
      <name val="Rockwell"/>
      <family val="1"/>
    </font>
    <font>
      <b/>
      <sz val="10"/>
      <color theme="1"/>
      <name val="Rockwell"/>
      <family val="1"/>
    </font>
    <font>
      <b/>
      <sz val="14"/>
      <color theme="1"/>
      <name val="Rockwell"/>
      <family val="1"/>
    </font>
    <font>
      <b/>
      <sz val="10"/>
      <color rgb="FF005DA2"/>
      <name val="Rockwell"/>
      <family val="1"/>
    </font>
    <font>
      <b/>
      <sz val="10"/>
      <name val="Rockwell"/>
      <family val="1"/>
    </font>
    <font>
      <b/>
      <sz val="16"/>
      <color theme="1"/>
      <name val="Rockwell"/>
      <family val="1"/>
    </font>
    <font>
      <b/>
      <sz val="11"/>
      <color rgb="FFFFFF00"/>
      <name val="Rockwell"/>
      <family val="1"/>
    </font>
    <font>
      <b/>
      <sz val="18"/>
      <color theme="1"/>
      <name val="Rockwell"/>
      <family val="1"/>
    </font>
    <font>
      <sz val="10"/>
      <color theme="1"/>
      <name val="Rockwell"/>
      <family val="1"/>
    </font>
    <font>
      <b/>
      <sz val="8"/>
      <color theme="1"/>
      <name val="Rockwell"/>
      <family val="1"/>
    </font>
    <font>
      <sz val="22"/>
      <color theme="1"/>
      <name val="Rockwell"/>
      <family val="1"/>
    </font>
    <font>
      <b/>
      <sz val="26"/>
      <color theme="1"/>
      <name val="Rockwell"/>
      <family val="1"/>
    </font>
    <font>
      <sz val="8"/>
      <color theme="1"/>
      <name val="Rockwell"/>
      <family val="1"/>
    </font>
    <font>
      <u/>
      <sz val="12"/>
      <color theme="10"/>
      <name val="Rockwell"/>
      <family val="1"/>
    </font>
    <font>
      <b/>
      <sz val="18"/>
      <name val="Rockwell"/>
      <family val="1"/>
    </font>
    <font>
      <b/>
      <sz val="14"/>
      <name val="Rockwell"/>
      <family val="1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90">
    <xf numFmtId="0" fontId="0" fillId="0" borderId="0" xfId="0"/>
    <xf numFmtId="1" fontId="4" fillId="12" borderId="7" xfId="0" applyNumberFormat="1" applyFont="1" applyFill="1" applyBorder="1" applyAlignment="1" applyProtection="1">
      <alignment horizontal="center" vertical="center"/>
      <protection locked="0"/>
    </xf>
    <xf numFmtId="1" fontId="4" fillId="12" borderId="4" xfId="0" applyNumberFormat="1" applyFont="1" applyFill="1" applyBorder="1" applyAlignment="1" applyProtection="1">
      <alignment horizontal="center" vertical="center"/>
      <protection locked="0"/>
    </xf>
    <xf numFmtId="1" fontId="4" fillId="12" borderId="4" xfId="0" applyNumberFormat="1" applyFont="1" applyFill="1" applyBorder="1" applyAlignment="1" applyProtection="1">
      <alignment horizontal="center" vertical="center" wrapText="1"/>
      <protection locked="0"/>
    </xf>
    <xf numFmtId="1" fontId="4" fillId="1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6" fillId="13" borderId="39" xfId="0" applyFont="1" applyFill="1" applyBorder="1" applyAlignment="1">
      <alignment horizontal="center" vertical="center" wrapText="1"/>
    </xf>
    <xf numFmtId="0" fontId="7" fillId="14" borderId="38" xfId="0" applyFont="1" applyFill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13" borderId="38" xfId="0" applyFont="1" applyFill="1" applyBorder="1" applyAlignment="1">
      <alignment horizontal="center" vertical="center" wrapText="1"/>
    </xf>
    <xf numFmtId="0" fontId="9" fillId="0" borderId="0" xfId="0" applyFont="1"/>
    <xf numFmtId="0" fontId="12" fillId="0" borderId="0" xfId="0" applyFont="1"/>
    <xf numFmtId="0" fontId="13" fillId="0" borderId="0" xfId="0" applyFont="1"/>
    <xf numFmtId="0" fontId="5" fillId="0" borderId="0" xfId="0" applyFont="1"/>
    <xf numFmtId="0" fontId="7" fillId="2" borderId="8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7" fillId="6" borderId="24" xfId="0" applyFont="1" applyFill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11" fillId="0" borderId="24" xfId="0" applyFont="1" applyBorder="1" applyAlignment="1">
      <alignment horizontal="center" vertical="center"/>
    </xf>
    <xf numFmtId="0" fontId="9" fillId="9" borderId="24" xfId="0" applyFont="1" applyFill="1" applyBorder="1" applyAlignment="1">
      <alignment horizontal="center" vertical="center"/>
    </xf>
    <xf numFmtId="0" fontId="9" fillId="0" borderId="24" xfId="0" applyFont="1" applyBorder="1" applyAlignment="1">
      <alignment horizontal="left"/>
    </xf>
    <xf numFmtId="9" fontId="9" fillId="0" borderId="0" xfId="1" applyFont="1"/>
    <xf numFmtId="0" fontId="9" fillId="10" borderId="4" xfId="0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left"/>
    </xf>
    <xf numFmtId="0" fontId="9" fillId="0" borderId="22" xfId="0" applyFont="1" applyBorder="1" applyAlignment="1">
      <alignment horizontal="center"/>
    </xf>
    <xf numFmtId="0" fontId="11" fillId="0" borderId="22" xfId="0" applyFont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0" borderId="22" xfId="0" applyFont="1" applyBorder="1" applyAlignment="1">
      <alignment horizontal="left"/>
    </xf>
    <xf numFmtId="0" fontId="7" fillId="2" borderId="8" xfId="0" applyFont="1" applyFill="1" applyBorder="1" applyAlignment="1">
      <alignment horizontal="center"/>
    </xf>
    <xf numFmtId="0" fontId="9" fillId="2" borderId="32" xfId="0" applyFont="1" applyFill="1" applyBorder="1" applyAlignment="1">
      <alignment horizontal="center"/>
    </xf>
    <xf numFmtId="0" fontId="9" fillId="11" borderId="7" xfId="0" applyFont="1" applyFill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9" fillId="11" borderId="4" xfId="0" applyFont="1" applyFill="1" applyBorder="1" applyAlignment="1">
      <alignment horizontal="center"/>
    </xf>
    <xf numFmtId="0" fontId="9" fillId="0" borderId="4" xfId="0" applyFont="1" applyBorder="1"/>
    <xf numFmtId="0" fontId="9" fillId="2" borderId="28" xfId="0" applyFont="1" applyFill="1" applyBorder="1" applyAlignment="1">
      <alignment horizontal="center"/>
    </xf>
    <xf numFmtId="0" fontId="9" fillId="11" borderId="29" xfId="0" applyFont="1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7" fillId="2" borderId="8" xfId="0" applyFont="1" applyFill="1" applyBorder="1" applyAlignment="1">
      <alignment horizontal="center" vertical="top" wrapText="1"/>
    </xf>
    <xf numFmtId="0" fontId="7" fillId="2" borderId="8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 wrapText="1"/>
    </xf>
    <xf numFmtId="0" fontId="9" fillId="0" borderId="20" xfId="0" applyFont="1" applyBorder="1"/>
    <xf numFmtId="0" fontId="16" fillId="0" borderId="23" xfId="0" applyFont="1" applyBorder="1" applyAlignment="1">
      <alignment horizontal="center" vertical="center"/>
    </xf>
    <xf numFmtId="0" fontId="17" fillId="8" borderId="25" xfId="0" applyFont="1" applyFill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6" fillId="0" borderId="26" xfId="0" applyFont="1" applyBorder="1" applyAlignment="1">
      <alignment horizontal="center"/>
    </xf>
    <xf numFmtId="0" fontId="16" fillId="0" borderId="32" xfId="0" applyFont="1" applyBorder="1" applyAlignment="1">
      <alignment horizontal="center" vertical="center"/>
    </xf>
    <xf numFmtId="0" fontId="17" fillId="8" borderId="31" xfId="0" applyFont="1" applyFill="1" applyBorder="1" applyAlignment="1">
      <alignment horizontal="center" vertical="center"/>
    </xf>
    <xf numFmtId="0" fontId="9" fillId="11" borderId="6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9" fillId="11" borderId="33" xfId="0" applyFont="1" applyFill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0" xfId="0" applyFont="1" applyBorder="1" applyAlignment="1">
      <alignment horizontal="center"/>
    </xf>
    <xf numFmtId="0" fontId="9" fillId="0" borderId="61" xfId="0" applyFont="1" applyBorder="1" applyAlignment="1">
      <alignment horizontal="center"/>
    </xf>
    <xf numFmtId="0" fontId="9" fillId="0" borderId="62" xfId="0" applyFont="1" applyBorder="1" applyAlignment="1">
      <alignment horizontal="center"/>
    </xf>
    <xf numFmtId="0" fontId="18" fillId="0" borderId="55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8" fillId="0" borderId="56" xfId="0" applyFont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15" fillId="13" borderId="8" xfId="0" applyFont="1" applyFill="1" applyBorder="1" applyAlignment="1">
      <alignment horizontal="center" vertical="center"/>
    </xf>
    <xf numFmtId="0" fontId="15" fillId="13" borderId="12" xfId="0" applyFont="1" applyFill="1" applyBorder="1" applyAlignment="1">
      <alignment horizontal="center" vertical="center"/>
    </xf>
    <xf numFmtId="0" fontId="15" fillId="13" borderId="13" xfId="0" applyFont="1" applyFill="1" applyBorder="1" applyAlignment="1">
      <alignment horizontal="center" vertical="center"/>
    </xf>
    <xf numFmtId="0" fontId="15" fillId="13" borderId="14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8" fillId="0" borderId="54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11" borderId="4" xfId="0" applyFont="1" applyFill="1" applyBorder="1" applyAlignment="1">
      <alignment horizontal="center"/>
    </xf>
    <xf numFmtId="0" fontId="9" fillId="11" borderId="27" xfId="0" applyFont="1" applyFill="1" applyBorder="1" applyAlignment="1">
      <alignment horizontal="center"/>
    </xf>
    <xf numFmtId="0" fontId="18" fillId="0" borderId="26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 wrapText="1"/>
    </xf>
    <xf numFmtId="0" fontId="9" fillId="0" borderId="58" xfId="0" applyFont="1" applyBorder="1" applyAlignment="1">
      <alignment horizontal="center" vertical="center" wrapText="1"/>
    </xf>
    <xf numFmtId="0" fontId="9" fillId="0" borderId="59" xfId="0" applyFont="1" applyBorder="1" applyAlignment="1">
      <alignment horizontal="center" vertical="center" wrapText="1"/>
    </xf>
    <xf numFmtId="0" fontId="17" fillId="0" borderId="24" xfId="0" applyFont="1" applyBorder="1" applyAlignment="1">
      <alignment horizontal="center" vertical="center"/>
    </xf>
    <xf numFmtId="0" fontId="9" fillId="11" borderId="7" xfId="0" applyFont="1" applyFill="1" applyBorder="1" applyAlignment="1">
      <alignment horizontal="center"/>
    </xf>
    <xf numFmtId="0" fontId="9" fillId="11" borderId="31" xfId="0" applyFont="1" applyFill="1" applyBorder="1" applyAlignment="1">
      <alignment horizontal="center"/>
    </xf>
    <xf numFmtId="0" fontId="9" fillId="10" borderId="8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9" fillId="11" borderId="29" xfId="0" applyFont="1" applyFill="1" applyBorder="1" applyAlignment="1">
      <alignment horizontal="center"/>
    </xf>
    <xf numFmtId="0" fontId="9" fillId="11" borderId="30" xfId="0" applyFont="1" applyFill="1" applyBorder="1" applyAlignment="1">
      <alignment horizontal="center"/>
    </xf>
    <xf numFmtId="0" fontId="10" fillId="0" borderId="23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7" fillId="7" borderId="2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7" borderId="22" xfId="0" applyFont="1" applyFill="1" applyBorder="1" applyAlignment="1">
      <alignment horizontal="center" vertical="center" wrapText="1"/>
    </xf>
    <xf numFmtId="0" fontId="19" fillId="7" borderId="24" xfId="0" applyFont="1" applyFill="1" applyBorder="1" applyAlignment="1">
      <alignment horizontal="center" vertical="center"/>
    </xf>
    <xf numFmtId="0" fontId="19" fillId="7" borderId="4" xfId="0" applyFont="1" applyFill="1" applyBorder="1" applyAlignment="1">
      <alignment horizontal="center" vertical="center"/>
    </xf>
    <xf numFmtId="0" fontId="19" fillId="7" borderId="22" xfId="0" applyFont="1" applyFill="1" applyBorder="1" applyAlignment="1">
      <alignment horizontal="center" vertical="center"/>
    </xf>
    <xf numFmtId="9" fontId="20" fillId="0" borderId="24" xfId="1" applyFont="1" applyBorder="1" applyAlignment="1">
      <alignment horizontal="center" vertical="center"/>
    </xf>
    <xf numFmtId="9" fontId="20" fillId="0" borderId="4" xfId="1" applyFont="1" applyBorder="1" applyAlignment="1">
      <alignment horizontal="center" vertical="center"/>
    </xf>
    <xf numFmtId="9" fontId="20" fillId="0" borderId="22" xfId="1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7" fillId="2" borderId="15" xfId="0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5" fillId="13" borderId="52" xfId="0" applyFont="1" applyFill="1" applyBorder="1" applyAlignment="1">
      <alignment horizontal="center" vertical="center"/>
    </xf>
    <xf numFmtId="49" fontId="7" fillId="3" borderId="17" xfId="0" applyNumberFormat="1" applyFont="1" applyFill="1" applyBorder="1" applyAlignment="1">
      <alignment horizontal="center" vertical="center" wrapText="1"/>
    </xf>
    <xf numFmtId="49" fontId="7" fillId="3" borderId="18" xfId="0" applyNumberFormat="1" applyFont="1" applyFill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wrapText="1"/>
    </xf>
    <xf numFmtId="0" fontId="7" fillId="2" borderId="10" xfId="0" applyFont="1" applyFill="1" applyBorder="1" applyAlignment="1">
      <alignment horizontal="center" wrapText="1"/>
    </xf>
    <xf numFmtId="0" fontId="7" fillId="2" borderId="11" xfId="0" applyFont="1" applyFill="1" applyBorder="1" applyAlignment="1">
      <alignment horizontal="center" wrapText="1"/>
    </xf>
    <xf numFmtId="0" fontId="9" fillId="0" borderId="24" xfId="0" applyFont="1" applyBorder="1" applyAlignment="1">
      <alignment horizontal="center" vertical="center"/>
    </xf>
    <xf numFmtId="0" fontId="9" fillId="11" borderId="1" xfId="0" applyFont="1" applyFill="1" applyBorder="1" applyAlignment="1">
      <alignment horizontal="center"/>
    </xf>
    <xf numFmtId="0" fontId="24" fillId="0" borderId="15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14" fontId="24" fillId="0" borderId="15" xfId="0" applyNumberFormat="1" applyFont="1" applyBorder="1" applyAlignment="1">
      <alignment horizontal="center" vertical="center" wrapText="1"/>
    </xf>
    <xf numFmtId="0" fontId="15" fillId="13" borderId="9" xfId="0" applyFont="1" applyFill="1" applyBorder="1" applyAlignment="1">
      <alignment horizontal="center" vertical="center" wrapText="1"/>
    </xf>
    <xf numFmtId="0" fontId="15" fillId="13" borderId="10" xfId="0" applyFont="1" applyFill="1" applyBorder="1" applyAlignment="1">
      <alignment horizontal="center" vertical="center" wrapText="1"/>
    </xf>
    <xf numFmtId="0" fontId="15" fillId="13" borderId="11" xfId="0" applyFont="1" applyFill="1" applyBorder="1" applyAlignment="1">
      <alignment horizontal="center" vertical="center" wrapText="1"/>
    </xf>
    <xf numFmtId="0" fontId="15" fillId="13" borderId="12" xfId="0" applyFont="1" applyFill="1" applyBorder="1" applyAlignment="1">
      <alignment horizontal="center" vertical="center" wrapText="1"/>
    </xf>
    <xf numFmtId="0" fontId="15" fillId="13" borderId="13" xfId="0" applyFont="1" applyFill="1" applyBorder="1" applyAlignment="1">
      <alignment horizontal="center" vertical="center" wrapText="1"/>
    </xf>
    <xf numFmtId="0" fontId="15" fillId="13" borderId="14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22" fillId="0" borderId="8" xfId="2" applyFont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5" borderId="16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top" wrapText="1"/>
    </xf>
    <xf numFmtId="0" fontId="6" fillId="13" borderId="40" xfId="0" applyFont="1" applyFill="1" applyBorder="1" applyAlignment="1">
      <alignment horizontal="center" vertical="center" wrapText="1"/>
    </xf>
    <xf numFmtId="0" fontId="6" fillId="13" borderId="41" xfId="0" applyFont="1" applyFill="1" applyBorder="1" applyAlignment="1">
      <alignment horizontal="center" vertical="center" wrapText="1"/>
    </xf>
    <xf numFmtId="0" fontId="6" fillId="13" borderId="42" xfId="0" applyFont="1" applyFill="1" applyBorder="1" applyAlignment="1">
      <alignment horizontal="center" vertical="center" wrapText="1"/>
    </xf>
    <xf numFmtId="0" fontId="6" fillId="13" borderId="45" xfId="0" applyFont="1" applyFill="1" applyBorder="1" applyAlignment="1">
      <alignment horizontal="center" vertical="center" wrapText="1"/>
    </xf>
    <xf numFmtId="0" fontId="6" fillId="13" borderId="46" xfId="0" applyFont="1" applyFill="1" applyBorder="1" applyAlignment="1">
      <alignment horizontal="center" vertical="center" wrapText="1"/>
    </xf>
    <xf numFmtId="0" fontId="6" fillId="13" borderId="47" xfId="0" applyFont="1" applyFill="1" applyBorder="1" applyAlignment="1">
      <alignment horizontal="center" vertical="center" wrapText="1"/>
    </xf>
    <xf numFmtId="0" fontId="6" fillId="13" borderId="50" xfId="0" applyFont="1" applyFill="1" applyBorder="1" applyAlignment="1">
      <alignment horizontal="center" vertical="center" wrapText="1"/>
    </xf>
    <xf numFmtId="0" fontId="6" fillId="13" borderId="51" xfId="0" applyFont="1" applyFill="1" applyBorder="1" applyAlignment="1">
      <alignment horizontal="center" vertical="center" wrapText="1"/>
    </xf>
  </cellXfs>
  <cellStyles count="3">
    <cellStyle name="Hipervínculo" xfId="2" builtinId="8"/>
    <cellStyle name="Normal" xfId="0" builtinId="0"/>
    <cellStyle name="Porcentaje" xfId="1" builtinId="5"/>
  </cellStyles>
  <dxfs count="9">
    <dxf>
      <font>
        <b/>
        <i val="0"/>
        <strike val="0"/>
      </font>
      <fill>
        <patternFill>
          <bgColor rgb="FF00B050"/>
        </patternFill>
      </fill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strike val="0"/>
        <color theme="1"/>
      </font>
      <fill>
        <patternFill>
          <bgColor theme="5" tint="-0.24994659260841701"/>
        </patternFill>
      </fill>
    </dxf>
    <dxf>
      <font>
        <strike val="0"/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ont>
        <color rgb="FF9C0006"/>
      </font>
      <fill>
        <patternFill>
          <bgColor rgb="FFFFC000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strike val="0"/>
        <outline val="0"/>
        <shadow val="0"/>
        <vertAlign val="baseline"/>
        <name val="Rockwell"/>
        <family val="1"/>
        <scheme val="none"/>
      </font>
    </dxf>
    <dxf>
      <font>
        <strike val="0"/>
        <outline val="0"/>
        <shadow val="0"/>
        <vertAlign val="baseline"/>
        <name val="Rockwell"/>
        <family val="1"/>
        <scheme val="none"/>
      </font>
    </dxf>
    <dxf>
      <font>
        <strike val="0"/>
        <outline val="0"/>
        <shadow val="0"/>
        <vertAlign val="baseline"/>
        <name val="Rockwell"/>
        <family val="1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checked="Checked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checked="Checked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customXml" Target="../ink/ink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67480</xdr:colOff>
      <xdr:row>0</xdr:row>
      <xdr:rowOff>320744</xdr:rowOff>
    </xdr:from>
    <xdr:to>
      <xdr:col>0</xdr:col>
      <xdr:colOff>1469571</xdr:colOff>
      <xdr:row>1</xdr:row>
      <xdr:rowOff>462642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480" y="320744"/>
          <a:ext cx="1402091" cy="482077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228600</xdr:colOff>
          <xdr:row>10</xdr:row>
          <xdr:rowOff>190500</xdr:rowOff>
        </xdr:from>
        <xdr:to>
          <xdr:col>0</xdr:col>
          <xdr:colOff>809625</xdr:colOff>
          <xdr:row>12</xdr:row>
          <xdr:rowOff>28575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BOM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219075</xdr:colOff>
          <xdr:row>12</xdr:row>
          <xdr:rowOff>123825</xdr:rowOff>
        </xdr:from>
        <xdr:to>
          <xdr:col>0</xdr:col>
          <xdr:colOff>1028700</xdr:colOff>
          <xdr:row>14</xdr:row>
          <xdr:rowOff>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Sólidos 3D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342900</xdr:colOff>
          <xdr:row>10</xdr:row>
          <xdr:rowOff>180975</xdr:rowOff>
        </xdr:from>
        <xdr:to>
          <xdr:col>1</xdr:col>
          <xdr:colOff>1295400</xdr:colOff>
          <xdr:row>12</xdr:row>
          <xdr:rowOff>28575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Especificaciones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333375</xdr:colOff>
          <xdr:row>12</xdr:row>
          <xdr:rowOff>142875</xdr:rowOff>
        </xdr:from>
        <xdr:to>
          <xdr:col>1</xdr:col>
          <xdr:colOff>1285875</xdr:colOff>
          <xdr:row>13</xdr:row>
          <xdr:rowOff>190500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Otro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17</xdr:row>
          <xdr:rowOff>9525</xdr:rowOff>
        </xdr:from>
        <xdr:to>
          <xdr:col>4</xdr:col>
          <xdr:colOff>581025</xdr:colOff>
          <xdr:row>18</xdr:row>
          <xdr:rowOff>19050</xdr:rowOff>
        </xdr:to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00000000-0008-0000-0000-00000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809625</xdr:colOff>
          <xdr:row>17</xdr:row>
          <xdr:rowOff>28575</xdr:rowOff>
        </xdr:from>
        <xdr:to>
          <xdr:col>5</xdr:col>
          <xdr:colOff>266700</xdr:colOff>
          <xdr:row>17</xdr:row>
          <xdr:rowOff>238125</xdr:rowOff>
        </xdr:to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0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17</xdr:row>
          <xdr:rowOff>28575</xdr:rowOff>
        </xdr:from>
        <xdr:to>
          <xdr:col>6</xdr:col>
          <xdr:colOff>552450</xdr:colOff>
          <xdr:row>17</xdr:row>
          <xdr:rowOff>238125</xdr:rowOff>
        </xdr:to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00000000-0008-0000-0000-00001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FALTA DE INFORMACIÓN</a:t>
              </a:r>
            </a:p>
          </xdr:txBody>
        </xdr:sp>
        <xdr:clientData/>
      </xdr:twoCellAnchor>
    </mc:Choice>
    <mc:Fallback/>
  </mc:AlternateContent>
  <xdr:twoCellAnchor editAs="oneCell">
    <xdr:from>
      <xdr:col>8</xdr:col>
      <xdr:colOff>204928</xdr:colOff>
      <xdr:row>20</xdr:row>
      <xdr:rowOff>109364</xdr:rowOff>
    </xdr:from>
    <xdr:to>
      <xdr:col>8</xdr:col>
      <xdr:colOff>221128</xdr:colOff>
      <xdr:row>20</xdr:row>
      <xdr:rowOff>132764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Entrada de lápiz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14:cNvPr>
            <xdr14:cNvContentPartPr/>
          </xdr14:nvContentPartPr>
          <xdr14:nvPr macro=""/>
          <xdr14:xfrm>
            <a:off x="5942880" y="4424304"/>
            <a:ext cx="16200" cy="23400"/>
          </xdr14:xfrm>
        </xdr:contentPart>
      </mc:Choice>
      <mc:Fallback xmlns="">
        <xdr:pic>
          <xdr:nvPicPr>
            <xdr:cNvPr id="3" name="Entrada de lápiz 2">
              <a:extLst>
                <a:ext uri="{FF2B5EF4-FFF2-40B4-BE49-F238E27FC236}">
                  <a16:creationId xmlns:a16="http://schemas.microsoft.com/office/drawing/2014/main" id="{FBA46091-8A29-99B2-D073-C76B0ABAD08E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5936760" y="4418184"/>
              <a:ext cx="28440" cy="35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247408</xdr:colOff>
      <xdr:row>20</xdr:row>
      <xdr:rowOff>199364</xdr:rowOff>
    </xdr:from>
    <xdr:to>
      <xdr:col>8</xdr:col>
      <xdr:colOff>263608</xdr:colOff>
      <xdr:row>20</xdr:row>
      <xdr:rowOff>228884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Entrada de lápiz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14:cNvPr>
            <xdr14:cNvContentPartPr/>
          </xdr14:nvContentPartPr>
          <xdr14:nvPr macro=""/>
          <xdr14:xfrm>
            <a:off x="5985360" y="4514304"/>
            <a:ext cx="16200" cy="29520"/>
          </xdr14:xfrm>
        </xdr:contentPart>
      </mc:Choice>
      <mc:Fallback xmlns="">
        <xdr:pic>
          <xdr:nvPicPr>
            <xdr:cNvPr id="4" name="Entrada de lápiz 3">
              <a:extLst>
                <a:ext uri="{FF2B5EF4-FFF2-40B4-BE49-F238E27FC236}">
                  <a16:creationId xmlns:a16="http://schemas.microsoft.com/office/drawing/2014/main" id="{1B483371-D3EE-E51D-D2D5-8EDDFA985871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5979240" y="4508184"/>
              <a:ext cx="28440" cy="41760"/>
            </a:xfrm>
            <a:prstGeom prst="rect">
              <a:avLst/>
            </a:prstGeom>
          </xdr:spPr>
        </xdr:pic>
      </mc:Fallback>
    </mc:AlternateContent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123825</xdr:colOff>
          <xdr:row>70</xdr:row>
          <xdr:rowOff>9525</xdr:rowOff>
        </xdr:from>
        <xdr:to>
          <xdr:col>30</xdr:col>
          <xdr:colOff>523875</xdr:colOff>
          <xdr:row>71</xdr:row>
          <xdr:rowOff>0</xdr:rowOff>
        </xdr:to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0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133350</xdr:colOff>
          <xdr:row>70</xdr:row>
          <xdr:rowOff>28575</xdr:rowOff>
        </xdr:from>
        <xdr:to>
          <xdr:col>31</xdr:col>
          <xdr:colOff>714375</xdr:colOff>
          <xdr:row>71</xdr:row>
          <xdr:rowOff>0</xdr:rowOff>
        </xdr:to>
        <xdr:sp macro="" textlink="">
          <xdr:nvSpPr>
            <xdr:cNvPr id="3109" name="Check Box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0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133350</xdr:colOff>
          <xdr:row>70</xdr:row>
          <xdr:rowOff>38100</xdr:rowOff>
        </xdr:from>
        <xdr:to>
          <xdr:col>34</xdr:col>
          <xdr:colOff>628650</xdr:colOff>
          <xdr:row>71</xdr:row>
          <xdr:rowOff>0</xdr:rowOff>
        </xdr:to>
        <xdr:sp macro="" textlink="">
          <xdr:nvSpPr>
            <xdr:cNvPr id="3110" name="Check Box 38" hidden="1">
              <a:extLst>
                <a:ext uri="{63B3BB69-23CF-44E3-9099-C40C66FF867C}">
                  <a14:compatExt spid="_x0000_s3110"/>
                </a:ext>
                <a:ext uri="{FF2B5EF4-FFF2-40B4-BE49-F238E27FC236}">
                  <a16:creationId xmlns:a16="http://schemas.microsoft.com/office/drawing/2014/main" id="{00000000-0008-0000-0000-00002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FALTA DE INFORMACION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123825</xdr:colOff>
          <xdr:row>73</xdr:row>
          <xdr:rowOff>9525</xdr:rowOff>
        </xdr:from>
        <xdr:to>
          <xdr:col>30</xdr:col>
          <xdr:colOff>523875</xdr:colOff>
          <xdr:row>73</xdr:row>
          <xdr:rowOff>266700</xdr:rowOff>
        </xdr:to>
        <xdr:sp macro="" textlink="">
          <xdr:nvSpPr>
            <xdr:cNvPr id="3111" name="Check Box 39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00000000-0008-0000-0000-00002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133350</xdr:colOff>
          <xdr:row>73</xdr:row>
          <xdr:rowOff>28575</xdr:rowOff>
        </xdr:from>
        <xdr:to>
          <xdr:col>31</xdr:col>
          <xdr:colOff>714375</xdr:colOff>
          <xdr:row>73</xdr:row>
          <xdr:rowOff>238125</xdr:rowOff>
        </xdr:to>
        <xdr:sp macro="" textlink="">
          <xdr:nvSpPr>
            <xdr:cNvPr id="3112" name="Check Box 40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0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133350</xdr:colOff>
          <xdr:row>73</xdr:row>
          <xdr:rowOff>38100</xdr:rowOff>
        </xdr:from>
        <xdr:to>
          <xdr:col>34</xdr:col>
          <xdr:colOff>628650</xdr:colOff>
          <xdr:row>73</xdr:row>
          <xdr:rowOff>247650</xdr:rowOff>
        </xdr:to>
        <xdr:sp macro="" textlink="">
          <xdr:nvSpPr>
            <xdr:cNvPr id="3113" name="Check Box 41" hidden="1">
              <a:extLst>
                <a:ext uri="{63B3BB69-23CF-44E3-9099-C40C66FF867C}">
                  <a14:compatExt spid="_x0000_s3113"/>
                </a:ext>
                <a:ext uri="{FF2B5EF4-FFF2-40B4-BE49-F238E27FC236}">
                  <a16:creationId xmlns:a16="http://schemas.microsoft.com/office/drawing/2014/main" id="{00000000-0008-0000-0000-00002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FALTA DE INFORMACION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30</xdr:col>
          <xdr:colOff>123825</xdr:colOff>
          <xdr:row>76</xdr:row>
          <xdr:rowOff>9525</xdr:rowOff>
        </xdr:from>
        <xdr:to>
          <xdr:col>30</xdr:col>
          <xdr:colOff>523875</xdr:colOff>
          <xdr:row>76</xdr:row>
          <xdr:rowOff>266700</xdr:rowOff>
        </xdr:to>
        <xdr:sp macro="" textlink="">
          <xdr:nvSpPr>
            <xdr:cNvPr id="3114" name="Check Box 42" hidden="1">
              <a:extLst>
                <a:ext uri="{63B3BB69-23CF-44E3-9099-C40C66FF867C}">
                  <a14:compatExt spid="_x0000_s3114"/>
                </a:ext>
                <a:ext uri="{FF2B5EF4-FFF2-40B4-BE49-F238E27FC236}">
                  <a16:creationId xmlns:a16="http://schemas.microsoft.com/office/drawing/2014/main" id="{00000000-0008-0000-0000-00002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31</xdr:col>
          <xdr:colOff>133350</xdr:colOff>
          <xdr:row>76</xdr:row>
          <xdr:rowOff>28575</xdr:rowOff>
        </xdr:from>
        <xdr:to>
          <xdr:col>31</xdr:col>
          <xdr:colOff>714375</xdr:colOff>
          <xdr:row>76</xdr:row>
          <xdr:rowOff>238125</xdr:rowOff>
        </xdr:to>
        <xdr:sp macro="" textlink="">
          <xdr:nvSpPr>
            <xdr:cNvPr id="3115" name="Check Box 43" hidden="1">
              <a:extLst>
                <a:ext uri="{63B3BB69-23CF-44E3-9099-C40C66FF867C}">
                  <a14:compatExt spid="_x0000_s3115"/>
                </a:ext>
                <a:ext uri="{FF2B5EF4-FFF2-40B4-BE49-F238E27FC236}">
                  <a16:creationId xmlns:a16="http://schemas.microsoft.com/office/drawing/2014/main" id="{00000000-0008-0000-0000-00002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33</xdr:col>
          <xdr:colOff>133350</xdr:colOff>
          <xdr:row>76</xdr:row>
          <xdr:rowOff>38100</xdr:rowOff>
        </xdr:from>
        <xdr:to>
          <xdr:col>34</xdr:col>
          <xdr:colOff>628650</xdr:colOff>
          <xdr:row>76</xdr:row>
          <xdr:rowOff>247650</xdr:rowOff>
        </xdr:to>
        <xdr:sp macro="" textlink="">
          <xdr:nvSpPr>
            <xdr:cNvPr id="3116" name="Check Box 44" hidden="1">
              <a:extLst>
                <a:ext uri="{63B3BB69-23CF-44E3-9099-C40C66FF867C}">
                  <a14:compatExt spid="_x0000_s3116"/>
                </a:ext>
                <a:ext uri="{FF2B5EF4-FFF2-40B4-BE49-F238E27FC236}">
                  <a16:creationId xmlns:a16="http://schemas.microsoft.com/office/drawing/2014/main" id="{00000000-0008-0000-0000-00002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FALTA DE INFORMACION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20</xdr:row>
          <xdr:rowOff>9525</xdr:rowOff>
        </xdr:from>
        <xdr:to>
          <xdr:col>4</xdr:col>
          <xdr:colOff>581025</xdr:colOff>
          <xdr:row>21</xdr:row>
          <xdr:rowOff>19050</xdr:rowOff>
        </xdr:to>
        <xdr:sp macro="" textlink="">
          <xdr:nvSpPr>
            <xdr:cNvPr id="3118" name="Check Box 46" hidden="1">
              <a:extLst>
                <a:ext uri="{63B3BB69-23CF-44E3-9099-C40C66FF867C}">
                  <a14:compatExt spid="_x0000_s3118"/>
                </a:ext>
                <a:ext uri="{FF2B5EF4-FFF2-40B4-BE49-F238E27FC236}">
                  <a16:creationId xmlns:a16="http://schemas.microsoft.com/office/drawing/2014/main" id="{00000000-0008-0000-0000-00002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809625</xdr:colOff>
          <xdr:row>20</xdr:row>
          <xdr:rowOff>28575</xdr:rowOff>
        </xdr:from>
        <xdr:to>
          <xdr:col>5</xdr:col>
          <xdr:colOff>266700</xdr:colOff>
          <xdr:row>20</xdr:row>
          <xdr:rowOff>238125</xdr:rowOff>
        </xdr:to>
        <xdr:sp macro="" textlink="">
          <xdr:nvSpPr>
            <xdr:cNvPr id="3119" name="Check Box 47" hidden="1">
              <a:extLst>
                <a:ext uri="{63B3BB69-23CF-44E3-9099-C40C66FF867C}">
                  <a14:compatExt spid="_x0000_s3119"/>
                </a:ext>
                <a:ext uri="{FF2B5EF4-FFF2-40B4-BE49-F238E27FC236}">
                  <a16:creationId xmlns:a16="http://schemas.microsoft.com/office/drawing/2014/main" id="{00000000-0008-0000-0000-00002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20</xdr:row>
          <xdr:rowOff>28575</xdr:rowOff>
        </xdr:from>
        <xdr:to>
          <xdr:col>6</xdr:col>
          <xdr:colOff>552450</xdr:colOff>
          <xdr:row>20</xdr:row>
          <xdr:rowOff>238125</xdr:rowOff>
        </xdr:to>
        <xdr:sp macro="" textlink="">
          <xdr:nvSpPr>
            <xdr:cNvPr id="3120" name="Check Box 48" hidden="1">
              <a:extLst>
                <a:ext uri="{63B3BB69-23CF-44E3-9099-C40C66FF867C}">
                  <a14:compatExt spid="_x0000_s3120"/>
                </a:ext>
                <a:ext uri="{FF2B5EF4-FFF2-40B4-BE49-F238E27FC236}">
                  <a16:creationId xmlns:a16="http://schemas.microsoft.com/office/drawing/2014/main" id="{00000000-0008-0000-0000-00003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FALTA DE INFORMACIÓN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23</xdr:row>
          <xdr:rowOff>9525</xdr:rowOff>
        </xdr:from>
        <xdr:to>
          <xdr:col>4</xdr:col>
          <xdr:colOff>581025</xdr:colOff>
          <xdr:row>24</xdr:row>
          <xdr:rowOff>19050</xdr:rowOff>
        </xdr:to>
        <xdr:sp macro="" textlink="">
          <xdr:nvSpPr>
            <xdr:cNvPr id="3121" name="Check Box 49" hidden="1">
              <a:extLst>
                <a:ext uri="{63B3BB69-23CF-44E3-9099-C40C66FF867C}">
                  <a14:compatExt spid="_x0000_s3121"/>
                </a:ext>
                <a:ext uri="{FF2B5EF4-FFF2-40B4-BE49-F238E27FC236}">
                  <a16:creationId xmlns:a16="http://schemas.microsoft.com/office/drawing/2014/main" id="{00000000-0008-0000-0000-00003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809625</xdr:colOff>
          <xdr:row>23</xdr:row>
          <xdr:rowOff>28575</xdr:rowOff>
        </xdr:from>
        <xdr:to>
          <xdr:col>5</xdr:col>
          <xdr:colOff>266700</xdr:colOff>
          <xdr:row>23</xdr:row>
          <xdr:rowOff>238125</xdr:rowOff>
        </xdr:to>
        <xdr:sp macro="" textlink="">
          <xdr:nvSpPr>
            <xdr:cNvPr id="3122" name="Check Box 50" hidden="1">
              <a:extLst>
                <a:ext uri="{63B3BB69-23CF-44E3-9099-C40C66FF867C}">
                  <a14:compatExt spid="_x0000_s3122"/>
                </a:ext>
                <a:ext uri="{FF2B5EF4-FFF2-40B4-BE49-F238E27FC236}">
                  <a16:creationId xmlns:a16="http://schemas.microsoft.com/office/drawing/2014/main" id="{00000000-0008-0000-0000-00003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23</xdr:row>
          <xdr:rowOff>28575</xdr:rowOff>
        </xdr:from>
        <xdr:to>
          <xdr:col>6</xdr:col>
          <xdr:colOff>552450</xdr:colOff>
          <xdr:row>23</xdr:row>
          <xdr:rowOff>238125</xdr:rowOff>
        </xdr:to>
        <xdr:sp macro="" textlink="">
          <xdr:nvSpPr>
            <xdr:cNvPr id="3123" name="Check Box 51" hidden="1">
              <a:extLst>
                <a:ext uri="{63B3BB69-23CF-44E3-9099-C40C66FF867C}">
                  <a14:compatExt spid="_x0000_s3123"/>
                </a:ext>
                <a:ext uri="{FF2B5EF4-FFF2-40B4-BE49-F238E27FC236}">
                  <a16:creationId xmlns:a16="http://schemas.microsoft.com/office/drawing/2014/main" id="{00000000-0008-0000-0000-00003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FALTA DE INFORMACIÓN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26</xdr:row>
          <xdr:rowOff>9525</xdr:rowOff>
        </xdr:from>
        <xdr:to>
          <xdr:col>4</xdr:col>
          <xdr:colOff>581025</xdr:colOff>
          <xdr:row>27</xdr:row>
          <xdr:rowOff>19050</xdr:rowOff>
        </xdr:to>
        <xdr:sp macro="" textlink="">
          <xdr:nvSpPr>
            <xdr:cNvPr id="3124" name="Check Box 52" hidden="1">
              <a:extLst>
                <a:ext uri="{63B3BB69-23CF-44E3-9099-C40C66FF867C}">
                  <a14:compatExt spid="_x0000_s3124"/>
                </a:ext>
                <a:ext uri="{FF2B5EF4-FFF2-40B4-BE49-F238E27FC236}">
                  <a16:creationId xmlns:a16="http://schemas.microsoft.com/office/drawing/2014/main" id="{00000000-0008-0000-0000-00003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809625</xdr:colOff>
          <xdr:row>26</xdr:row>
          <xdr:rowOff>28575</xdr:rowOff>
        </xdr:from>
        <xdr:to>
          <xdr:col>5</xdr:col>
          <xdr:colOff>266700</xdr:colOff>
          <xdr:row>26</xdr:row>
          <xdr:rowOff>238125</xdr:rowOff>
        </xdr:to>
        <xdr:sp macro="" textlink="">
          <xdr:nvSpPr>
            <xdr:cNvPr id="3125" name="Check Box 53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00000000-0008-0000-0000-00003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26</xdr:row>
          <xdr:rowOff>28575</xdr:rowOff>
        </xdr:from>
        <xdr:to>
          <xdr:col>6</xdr:col>
          <xdr:colOff>552450</xdr:colOff>
          <xdr:row>26</xdr:row>
          <xdr:rowOff>238125</xdr:rowOff>
        </xdr:to>
        <xdr:sp macro="" textlink="">
          <xdr:nvSpPr>
            <xdr:cNvPr id="3126" name="Check Box 54" hidden="1">
              <a:extLst>
                <a:ext uri="{63B3BB69-23CF-44E3-9099-C40C66FF867C}">
                  <a14:compatExt spid="_x0000_s3126"/>
                </a:ext>
                <a:ext uri="{FF2B5EF4-FFF2-40B4-BE49-F238E27FC236}">
                  <a16:creationId xmlns:a16="http://schemas.microsoft.com/office/drawing/2014/main" id="{00000000-0008-0000-0000-00003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FALTA DE INFORMACIÓN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29</xdr:row>
          <xdr:rowOff>9525</xdr:rowOff>
        </xdr:from>
        <xdr:to>
          <xdr:col>4</xdr:col>
          <xdr:colOff>581025</xdr:colOff>
          <xdr:row>30</xdr:row>
          <xdr:rowOff>19050</xdr:rowOff>
        </xdr:to>
        <xdr:sp macro="" textlink="">
          <xdr:nvSpPr>
            <xdr:cNvPr id="3127" name="Check Box 55" hidden="1">
              <a:extLst>
                <a:ext uri="{63B3BB69-23CF-44E3-9099-C40C66FF867C}">
                  <a14:compatExt spid="_x0000_s3127"/>
                </a:ext>
                <a:ext uri="{FF2B5EF4-FFF2-40B4-BE49-F238E27FC236}">
                  <a16:creationId xmlns:a16="http://schemas.microsoft.com/office/drawing/2014/main" id="{00000000-0008-0000-0000-00003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809625</xdr:colOff>
          <xdr:row>29</xdr:row>
          <xdr:rowOff>28575</xdr:rowOff>
        </xdr:from>
        <xdr:to>
          <xdr:col>5</xdr:col>
          <xdr:colOff>266700</xdr:colOff>
          <xdr:row>29</xdr:row>
          <xdr:rowOff>238125</xdr:rowOff>
        </xdr:to>
        <xdr:sp macro="" textlink="">
          <xdr:nvSpPr>
            <xdr:cNvPr id="3128" name="Check Box 56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00000000-0008-0000-0000-00003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29</xdr:row>
          <xdr:rowOff>28575</xdr:rowOff>
        </xdr:from>
        <xdr:to>
          <xdr:col>6</xdr:col>
          <xdr:colOff>552450</xdr:colOff>
          <xdr:row>29</xdr:row>
          <xdr:rowOff>238125</xdr:rowOff>
        </xdr:to>
        <xdr:sp macro="" textlink="">
          <xdr:nvSpPr>
            <xdr:cNvPr id="3129" name="Check Box 57" hidden="1">
              <a:extLst>
                <a:ext uri="{63B3BB69-23CF-44E3-9099-C40C66FF867C}">
                  <a14:compatExt spid="_x0000_s3129"/>
                </a:ext>
                <a:ext uri="{FF2B5EF4-FFF2-40B4-BE49-F238E27FC236}">
                  <a16:creationId xmlns:a16="http://schemas.microsoft.com/office/drawing/2014/main" id="{00000000-0008-0000-0000-00003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FALTA DE INFORMACIÓN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38</xdr:row>
          <xdr:rowOff>9525</xdr:rowOff>
        </xdr:from>
        <xdr:to>
          <xdr:col>4</xdr:col>
          <xdr:colOff>581025</xdr:colOff>
          <xdr:row>38</xdr:row>
          <xdr:rowOff>266700</xdr:rowOff>
        </xdr:to>
        <xdr:sp macro="" textlink="">
          <xdr:nvSpPr>
            <xdr:cNvPr id="3130" name="Check Box 58" hidden="1">
              <a:extLst>
                <a:ext uri="{63B3BB69-23CF-44E3-9099-C40C66FF867C}">
                  <a14:compatExt spid="_x0000_s3130"/>
                </a:ext>
                <a:ext uri="{FF2B5EF4-FFF2-40B4-BE49-F238E27FC236}">
                  <a16:creationId xmlns:a16="http://schemas.microsoft.com/office/drawing/2014/main" id="{00000000-0008-0000-0000-00003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809625</xdr:colOff>
          <xdr:row>38</xdr:row>
          <xdr:rowOff>28575</xdr:rowOff>
        </xdr:from>
        <xdr:to>
          <xdr:col>5</xdr:col>
          <xdr:colOff>266700</xdr:colOff>
          <xdr:row>38</xdr:row>
          <xdr:rowOff>238125</xdr:rowOff>
        </xdr:to>
        <xdr:sp macro="" textlink="">
          <xdr:nvSpPr>
            <xdr:cNvPr id="3131" name="Check Box 59" hidden="1">
              <a:extLst>
                <a:ext uri="{63B3BB69-23CF-44E3-9099-C40C66FF867C}">
                  <a14:compatExt spid="_x0000_s3131"/>
                </a:ext>
                <a:ext uri="{FF2B5EF4-FFF2-40B4-BE49-F238E27FC236}">
                  <a16:creationId xmlns:a16="http://schemas.microsoft.com/office/drawing/2014/main" id="{00000000-0008-0000-0000-00003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38</xdr:row>
          <xdr:rowOff>28575</xdr:rowOff>
        </xdr:from>
        <xdr:to>
          <xdr:col>6</xdr:col>
          <xdr:colOff>552450</xdr:colOff>
          <xdr:row>38</xdr:row>
          <xdr:rowOff>238125</xdr:rowOff>
        </xdr:to>
        <xdr:sp macro="" textlink="">
          <xdr:nvSpPr>
            <xdr:cNvPr id="3132" name="Check Box 60" hidden="1">
              <a:extLst>
                <a:ext uri="{63B3BB69-23CF-44E3-9099-C40C66FF867C}">
                  <a14:compatExt spid="_x0000_s3132"/>
                </a:ext>
                <a:ext uri="{FF2B5EF4-FFF2-40B4-BE49-F238E27FC236}">
                  <a16:creationId xmlns:a16="http://schemas.microsoft.com/office/drawing/2014/main" id="{00000000-0008-0000-0000-00003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FALTA DE INFORMACIÓN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70</xdr:row>
          <xdr:rowOff>9525</xdr:rowOff>
        </xdr:from>
        <xdr:to>
          <xdr:col>4</xdr:col>
          <xdr:colOff>581025</xdr:colOff>
          <xdr:row>71</xdr:row>
          <xdr:rowOff>0</xdr:rowOff>
        </xdr:to>
        <xdr:sp macro="" textlink="">
          <xdr:nvSpPr>
            <xdr:cNvPr id="3134" name="Check Box 62" hidden="1">
              <a:extLst>
                <a:ext uri="{63B3BB69-23CF-44E3-9099-C40C66FF867C}">
                  <a14:compatExt spid="_x0000_s3134"/>
                </a:ext>
                <a:ext uri="{FF2B5EF4-FFF2-40B4-BE49-F238E27FC236}">
                  <a16:creationId xmlns:a16="http://schemas.microsoft.com/office/drawing/2014/main" id="{00000000-0008-0000-0000-00003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809625</xdr:colOff>
          <xdr:row>70</xdr:row>
          <xdr:rowOff>28575</xdr:rowOff>
        </xdr:from>
        <xdr:to>
          <xdr:col>5</xdr:col>
          <xdr:colOff>266700</xdr:colOff>
          <xdr:row>71</xdr:row>
          <xdr:rowOff>0</xdr:rowOff>
        </xdr:to>
        <xdr:sp macro="" textlink="">
          <xdr:nvSpPr>
            <xdr:cNvPr id="3135" name="Check Box 63" hidden="1">
              <a:extLst>
                <a:ext uri="{63B3BB69-23CF-44E3-9099-C40C66FF867C}">
                  <a14:compatExt spid="_x0000_s3135"/>
                </a:ext>
                <a:ext uri="{FF2B5EF4-FFF2-40B4-BE49-F238E27FC236}">
                  <a16:creationId xmlns:a16="http://schemas.microsoft.com/office/drawing/2014/main" id="{00000000-0008-0000-0000-00003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70</xdr:row>
          <xdr:rowOff>28575</xdr:rowOff>
        </xdr:from>
        <xdr:to>
          <xdr:col>6</xdr:col>
          <xdr:colOff>552450</xdr:colOff>
          <xdr:row>71</xdr:row>
          <xdr:rowOff>0</xdr:rowOff>
        </xdr:to>
        <xdr:sp macro="" textlink="">
          <xdr:nvSpPr>
            <xdr:cNvPr id="3136" name="Check Box 64" hidden="1">
              <a:extLst>
                <a:ext uri="{63B3BB69-23CF-44E3-9099-C40C66FF867C}">
                  <a14:compatExt spid="_x0000_s3136"/>
                </a:ext>
                <a:ext uri="{FF2B5EF4-FFF2-40B4-BE49-F238E27FC236}">
                  <a16:creationId xmlns:a16="http://schemas.microsoft.com/office/drawing/2014/main" id="{00000000-0008-0000-0000-00004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FALTA DE INFORMACIÓN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73</xdr:row>
          <xdr:rowOff>9525</xdr:rowOff>
        </xdr:from>
        <xdr:to>
          <xdr:col>4</xdr:col>
          <xdr:colOff>581025</xdr:colOff>
          <xdr:row>73</xdr:row>
          <xdr:rowOff>266700</xdr:rowOff>
        </xdr:to>
        <xdr:sp macro="" textlink="">
          <xdr:nvSpPr>
            <xdr:cNvPr id="3137" name="Check Box 65" hidden="1">
              <a:extLst>
                <a:ext uri="{63B3BB69-23CF-44E3-9099-C40C66FF867C}">
                  <a14:compatExt spid="_x0000_s3137"/>
                </a:ext>
                <a:ext uri="{FF2B5EF4-FFF2-40B4-BE49-F238E27FC236}">
                  <a16:creationId xmlns:a16="http://schemas.microsoft.com/office/drawing/2014/main" id="{00000000-0008-0000-0000-00004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809625</xdr:colOff>
          <xdr:row>73</xdr:row>
          <xdr:rowOff>28575</xdr:rowOff>
        </xdr:from>
        <xdr:to>
          <xdr:col>5</xdr:col>
          <xdr:colOff>266700</xdr:colOff>
          <xdr:row>73</xdr:row>
          <xdr:rowOff>238125</xdr:rowOff>
        </xdr:to>
        <xdr:sp macro="" textlink="">
          <xdr:nvSpPr>
            <xdr:cNvPr id="3138" name="Check Box 66" hidden="1">
              <a:extLst>
                <a:ext uri="{63B3BB69-23CF-44E3-9099-C40C66FF867C}">
                  <a14:compatExt spid="_x0000_s3138"/>
                </a:ext>
                <a:ext uri="{FF2B5EF4-FFF2-40B4-BE49-F238E27FC236}">
                  <a16:creationId xmlns:a16="http://schemas.microsoft.com/office/drawing/2014/main" id="{00000000-0008-0000-0000-00004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73</xdr:row>
          <xdr:rowOff>28575</xdr:rowOff>
        </xdr:from>
        <xdr:to>
          <xdr:col>6</xdr:col>
          <xdr:colOff>552450</xdr:colOff>
          <xdr:row>73</xdr:row>
          <xdr:rowOff>238125</xdr:rowOff>
        </xdr:to>
        <xdr:sp macro="" textlink="">
          <xdr:nvSpPr>
            <xdr:cNvPr id="3139" name="Check Box 67" hidden="1">
              <a:extLst>
                <a:ext uri="{63B3BB69-23CF-44E3-9099-C40C66FF867C}">
                  <a14:compatExt spid="_x0000_s3139"/>
                </a:ext>
                <a:ext uri="{FF2B5EF4-FFF2-40B4-BE49-F238E27FC236}">
                  <a16:creationId xmlns:a16="http://schemas.microsoft.com/office/drawing/2014/main" id="{00000000-0008-0000-0000-00004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FALTA DE INFORMACIÓN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76</xdr:row>
          <xdr:rowOff>9525</xdr:rowOff>
        </xdr:from>
        <xdr:to>
          <xdr:col>4</xdr:col>
          <xdr:colOff>581025</xdr:colOff>
          <xdr:row>76</xdr:row>
          <xdr:rowOff>266700</xdr:rowOff>
        </xdr:to>
        <xdr:sp macro="" textlink="">
          <xdr:nvSpPr>
            <xdr:cNvPr id="3140" name="Check Box 68" hidden="1">
              <a:extLst>
                <a:ext uri="{63B3BB69-23CF-44E3-9099-C40C66FF867C}">
                  <a14:compatExt spid="_x0000_s3140"/>
                </a:ext>
                <a:ext uri="{FF2B5EF4-FFF2-40B4-BE49-F238E27FC236}">
                  <a16:creationId xmlns:a16="http://schemas.microsoft.com/office/drawing/2014/main" id="{00000000-0008-0000-0000-00004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809625</xdr:colOff>
          <xdr:row>76</xdr:row>
          <xdr:rowOff>28575</xdr:rowOff>
        </xdr:from>
        <xdr:to>
          <xdr:col>5</xdr:col>
          <xdr:colOff>266700</xdr:colOff>
          <xdr:row>76</xdr:row>
          <xdr:rowOff>238125</xdr:rowOff>
        </xdr:to>
        <xdr:sp macro="" textlink="">
          <xdr:nvSpPr>
            <xdr:cNvPr id="3141" name="Check Box 69" hidden="1">
              <a:extLst>
                <a:ext uri="{63B3BB69-23CF-44E3-9099-C40C66FF867C}">
                  <a14:compatExt spid="_x0000_s3141"/>
                </a:ext>
                <a:ext uri="{FF2B5EF4-FFF2-40B4-BE49-F238E27FC236}">
                  <a16:creationId xmlns:a16="http://schemas.microsoft.com/office/drawing/2014/main" id="{00000000-0008-0000-0000-00004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76</xdr:row>
          <xdr:rowOff>28575</xdr:rowOff>
        </xdr:from>
        <xdr:to>
          <xdr:col>6</xdr:col>
          <xdr:colOff>552450</xdr:colOff>
          <xdr:row>76</xdr:row>
          <xdr:rowOff>238125</xdr:rowOff>
        </xdr:to>
        <xdr:sp macro="" textlink="">
          <xdr:nvSpPr>
            <xdr:cNvPr id="3142" name="Check Box 70" hidden="1">
              <a:extLst>
                <a:ext uri="{63B3BB69-23CF-44E3-9099-C40C66FF867C}">
                  <a14:compatExt spid="_x0000_s3142"/>
                </a:ext>
                <a:ext uri="{FF2B5EF4-FFF2-40B4-BE49-F238E27FC236}">
                  <a16:creationId xmlns:a16="http://schemas.microsoft.com/office/drawing/2014/main" id="{00000000-0008-0000-0000-00004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FALTA DE INFORMACIÓN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81</xdr:row>
          <xdr:rowOff>9525</xdr:rowOff>
        </xdr:from>
        <xdr:to>
          <xdr:col>4</xdr:col>
          <xdr:colOff>581025</xdr:colOff>
          <xdr:row>81</xdr:row>
          <xdr:rowOff>295275</xdr:rowOff>
        </xdr:to>
        <xdr:sp macro="" textlink="">
          <xdr:nvSpPr>
            <xdr:cNvPr id="3143" name="Check Box 71" hidden="1">
              <a:extLst>
                <a:ext uri="{63B3BB69-23CF-44E3-9099-C40C66FF867C}">
                  <a14:compatExt spid="_x0000_s3143"/>
                </a:ext>
                <a:ext uri="{FF2B5EF4-FFF2-40B4-BE49-F238E27FC236}">
                  <a16:creationId xmlns:a16="http://schemas.microsoft.com/office/drawing/2014/main" id="{00000000-0008-0000-0000-00004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809625</xdr:colOff>
          <xdr:row>81</xdr:row>
          <xdr:rowOff>28575</xdr:rowOff>
        </xdr:from>
        <xdr:to>
          <xdr:col>5</xdr:col>
          <xdr:colOff>266700</xdr:colOff>
          <xdr:row>81</xdr:row>
          <xdr:rowOff>295275</xdr:rowOff>
        </xdr:to>
        <xdr:sp macro="" textlink="">
          <xdr:nvSpPr>
            <xdr:cNvPr id="3144" name="Check Box 72" hidden="1">
              <a:extLst>
                <a:ext uri="{63B3BB69-23CF-44E3-9099-C40C66FF867C}">
                  <a14:compatExt spid="_x0000_s3144"/>
                </a:ext>
                <a:ext uri="{FF2B5EF4-FFF2-40B4-BE49-F238E27FC236}">
                  <a16:creationId xmlns:a16="http://schemas.microsoft.com/office/drawing/2014/main" id="{00000000-0008-0000-0000-00004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81</xdr:row>
          <xdr:rowOff>28575</xdr:rowOff>
        </xdr:from>
        <xdr:to>
          <xdr:col>6</xdr:col>
          <xdr:colOff>552450</xdr:colOff>
          <xdr:row>81</xdr:row>
          <xdr:rowOff>295275</xdr:rowOff>
        </xdr:to>
        <xdr:sp macro="" textlink="">
          <xdr:nvSpPr>
            <xdr:cNvPr id="3145" name="Check Box 73" hidden="1">
              <a:extLst>
                <a:ext uri="{63B3BB69-23CF-44E3-9099-C40C66FF867C}">
                  <a14:compatExt spid="_x0000_s3145"/>
                </a:ext>
                <a:ext uri="{FF2B5EF4-FFF2-40B4-BE49-F238E27FC236}">
                  <a16:creationId xmlns:a16="http://schemas.microsoft.com/office/drawing/2014/main" id="{00000000-0008-0000-0000-00004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FALTA DE INFORMACIÓN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84</xdr:row>
          <xdr:rowOff>9525</xdr:rowOff>
        </xdr:from>
        <xdr:to>
          <xdr:col>4</xdr:col>
          <xdr:colOff>581025</xdr:colOff>
          <xdr:row>84</xdr:row>
          <xdr:rowOff>266700</xdr:rowOff>
        </xdr:to>
        <xdr:sp macro="" textlink="">
          <xdr:nvSpPr>
            <xdr:cNvPr id="3146" name="Check Box 74" hidden="1">
              <a:extLst>
                <a:ext uri="{63B3BB69-23CF-44E3-9099-C40C66FF867C}">
                  <a14:compatExt spid="_x0000_s3146"/>
                </a:ext>
                <a:ext uri="{FF2B5EF4-FFF2-40B4-BE49-F238E27FC236}">
                  <a16:creationId xmlns:a16="http://schemas.microsoft.com/office/drawing/2014/main" id="{00000000-0008-0000-0000-00004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809625</xdr:colOff>
          <xdr:row>84</xdr:row>
          <xdr:rowOff>28575</xdr:rowOff>
        </xdr:from>
        <xdr:to>
          <xdr:col>5</xdr:col>
          <xdr:colOff>266700</xdr:colOff>
          <xdr:row>84</xdr:row>
          <xdr:rowOff>238125</xdr:rowOff>
        </xdr:to>
        <xdr:sp macro="" textlink="">
          <xdr:nvSpPr>
            <xdr:cNvPr id="3147" name="Check Box 75" hidden="1">
              <a:extLst>
                <a:ext uri="{63B3BB69-23CF-44E3-9099-C40C66FF867C}">
                  <a14:compatExt spid="_x0000_s3147"/>
                </a:ext>
                <a:ext uri="{FF2B5EF4-FFF2-40B4-BE49-F238E27FC236}">
                  <a16:creationId xmlns:a16="http://schemas.microsoft.com/office/drawing/2014/main" id="{00000000-0008-0000-0000-00004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84</xdr:row>
          <xdr:rowOff>28575</xdr:rowOff>
        </xdr:from>
        <xdr:to>
          <xdr:col>6</xdr:col>
          <xdr:colOff>552450</xdr:colOff>
          <xdr:row>84</xdr:row>
          <xdr:rowOff>238125</xdr:rowOff>
        </xdr:to>
        <xdr:sp macro="" textlink="">
          <xdr:nvSpPr>
            <xdr:cNvPr id="3148" name="Check Box 76" hidden="1">
              <a:extLst>
                <a:ext uri="{63B3BB69-23CF-44E3-9099-C40C66FF867C}">
                  <a14:compatExt spid="_x0000_s3148"/>
                </a:ext>
                <a:ext uri="{FF2B5EF4-FFF2-40B4-BE49-F238E27FC236}">
                  <a16:creationId xmlns:a16="http://schemas.microsoft.com/office/drawing/2014/main" id="{00000000-0008-0000-0000-00004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FALTA DE INFORMACIÓN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87</xdr:row>
          <xdr:rowOff>9525</xdr:rowOff>
        </xdr:from>
        <xdr:to>
          <xdr:col>4</xdr:col>
          <xdr:colOff>581025</xdr:colOff>
          <xdr:row>87</xdr:row>
          <xdr:rowOff>266700</xdr:rowOff>
        </xdr:to>
        <xdr:sp macro="" textlink="">
          <xdr:nvSpPr>
            <xdr:cNvPr id="3149" name="Check Box 77" hidden="1">
              <a:extLst>
                <a:ext uri="{63B3BB69-23CF-44E3-9099-C40C66FF867C}">
                  <a14:compatExt spid="_x0000_s3149"/>
                </a:ext>
                <a:ext uri="{FF2B5EF4-FFF2-40B4-BE49-F238E27FC236}">
                  <a16:creationId xmlns:a16="http://schemas.microsoft.com/office/drawing/2014/main" id="{00000000-0008-0000-0000-00004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809625</xdr:colOff>
          <xdr:row>87</xdr:row>
          <xdr:rowOff>28575</xdr:rowOff>
        </xdr:from>
        <xdr:to>
          <xdr:col>5</xdr:col>
          <xdr:colOff>266700</xdr:colOff>
          <xdr:row>87</xdr:row>
          <xdr:rowOff>238125</xdr:rowOff>
        </xdr:to>
        <xdr:sp macro="" textlink="">
          <xdr:nvSpPr>
            <xdr:cNvPr id="3150" name="Check Box 78" hidden="1">
              <a:extLst>
                <a:ext uri="{63B3BB69-23CF-44E3-9099-C40C66FF867C}">
                  <a14:compatExt spid="_x0000_s3150"/>
                </a:ext>
                <a:ext uri="{FF2B5EF4-FFF2-40B4-BE49-F238E27FC236}">
                  <a16:creationId xmlns:a16="http://schemas.microsoft.com/office/drawing/2014/main" id="{00000000-0008-0000-0000-00004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87</xdr:row>
          <xdr:rowOff>28575</xdr:rowOff>
        </xdr:from>
        <xdr:to>
          <xdr:col>6</xdr:col>
          <xdr:colOff>552450</xdr:colOff>
          <xdr:row>87</xdr:row>
          <xdr:rowOff>238125</xdr:rowOff>
        </xdr:to>
        <xdr:sp macro="" textlink="">
          <xdr:nvSpPr>
            <xdr:cNvPr id="3151" name="Check Box 79" hidden="1">
              <a:extLst>
                <a:ext uri="{63B3BB69-23CF-44E3-9099-C40C66FF867C}">
                  <a14:compatExt spid="_x0000_s3151"/>
                </a:ext>
                <a:ext uri="{FF2B5EF4-FFF2-40B4-BE49-F238E27FC236}">
                  <a16:creationId xmlns:a16="http://schemas.microsoft.com/office/drawing/2014/main" id="{00000000-0008-0000-0000-00004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FALTA DE INFORMACIÓN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90</xdr:row>
          <xdr:rowOff>9525</xdr:rowOff>
        </xdr:from>
        <xdr:to>
          <xdr:col>4</xdr:col>
          <xdr:colOff>581025</xdr:colOff>
          <xdr:row>90</xdr:row>
          <xdr:rowOff>266700</xdr:rowOff>
        </xdr:to>
        <xdr:sp macro="" textlink="">
          <xdr:nvSpPr>
            <xdr:cNvPr id="3152" name="Check Box 80" hidden="1">
              <a:extLst>
                <a:ext uri="{63B3BB69-23CF-44E3-9099-C40C66FF867C}">
                  <a14:compatExt spid="_x0000_s3152"/>
                </a:ext>
                <a:ext uri="{FF2B5EF4-FFF2-40B4-BE49-F238E27FC236}">
                  <a16:creationId xmlns:a16="http://schemas.microsoft.com/office/drawing/2014/main" id="{00000000-0008-0000-0000-00005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Mcvill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809625</xdr:colOff>
          <xdr:row>90</xdr:row>
          <xdr:rowOff>28575</xdr:rowOff>
        </xdr:from>
        <xdr:to>
          <xdr:col>5</xdr:col>
          <xdr:colOff>266700</xdr:colOff>
          <xdr:row>90</xdr:row>
          <xdr:rowOff>238125</xdr:rowOff>
        </xdr:to>
        <xdr:sp macro="" textlink="">
          <xdr:nvSpPr>
            <xdr:cNvPr id="3153" name="Check Box 81" hidden="1">
              <a:extLst>
                <a:ext uri="{63B3BB69-23CF-44E3-9099-C40C66FF867C}">
                  <a14:compatExt spid="_x0000_s3153"/>
                </a:ext>
                <a:ext uri="{FF2B5EF4-FFF2-40B4-BE49-F238E27FC236}">
                  <a16:creationId xmlns:a16="http://schemas.microsoft.com/office/drawing/2014/main" id="{00000000-0008-0000-0000-00005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Cliente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266700</xdr:colOff>
          <xdr:row>90</xdr:row>
          <xdr:rowOff>28575</xdr:rowOff>
        </xdr:from>
        <xdr:to>
          <xdr:col>6</xdr:col>
          <xdr:colOff>609600</xdr:colOff>
          <xdr:row>90</xdr:row>
          <xdr:rowOff>238125</xdr:rowOff>
        </xdr:to>
        <xdr:sp macro="" textlink="">
          <xdr:nvSpPr>
            <xdr:cNvPr id="3154" name="Check Box 82" hidden="1">
              <a:extLst>
                <a:ext uri="{63B3BB69-23CF-44E3-9099-C40C66FF867C}">
                  <a14:compatExt spid="_x0000_s3154"/>
                </a:ext>
                <a:ext uri="{FF2B5EF4-FFF2-40B4-BE49-F238E27FC236}">
                  <a16:creationId xmlns:a16="http://schemas.microsoft.com/office/drawing/2014/main" id="{00000000-0008-0000-0000-00005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FOB/ExWORKS: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20</xdr:row>
          <xdr:rowOff>9525</xdr:rowOff>
        </xdr:from>
        <xdr:to>
          <xdr:col>4</xdr:col>
          <xdr:colOff>581025</xdr:colOff>
          <xdr:row>21</xdr:row>
          <xdr:rowOff>19050</xdr:rowOff>
        </xdr:to>
        <xdr:sp macro="" textlink="">
          <xdr:nvSpPr>
            <xdr:cNvPr id="3156" name="Check Box 84" hidden="1">
              <a:extLst>
                <a:ext uri="{63B3BB69-23CF-44E3-9099-C40C66FF867C}">
                  <a14:compatExt spid="_x0000_s3156"/>
                </a:ext>
                <a:ext uri="{FF2B5EF4-FFF2-40B4-BE49-F238E27FC236}">
                  <a16:creationId xmlns:a16="http://schemas.microsoft.com/office/drawing/2014/main" id="{00000000-0008-0000-0000-00005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23</xdr:row>
          <xdr:rowOff>9525</xdr:rowOff>
        </xdr:from>
        <xdr:to>
          <xdr:col>4</xdr:col>
          <xdr:colOff>581025</xdr:colOff>
          <xdr:row>24</xdr:row>
          <xdr:rowOff>19050</xdr:rowOff>
        </xdr:to>
        <xdr:sp macro="" textlink="">
          <xdr:nvSpPr>
            <xdr:cNvPr id="3157" name="Check Box 85" hidden="1">
              <a:extLst>
                <a:ext uri="{63B3BB69-23CF-44E3-9099-C40C66FF867C}">
                  <a14:compatExt spid="_x0000_s3157"/>
                </a:ext>
                <a:ext uri="{FF2B5EF4-FFF2-40B4-BE49-F238E27FC236}">
                  <a16:creationId xmlns:a16="http://schemas.microsoft.com/office/drawing/2014/main" id="{00000000-0008-0000-0000-00005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26</xdr:row>
          <xdr:rowOff>9525</xdr:rowOff>
        </xdr:from>
        <xdr:to>
          <xdr:col>4</xdr:col>
          <xdr:colOff>581025</xdr:colOff>
          <xdr:row>27</xdr:row>
          <xdr:rowOff>19050</xdr:rowOff>
        </xdr:to>
        <xdr:sp macro="" textlink="">
          <xdr:nvSpPr>
            <xdr:cNvPr id="3158" name="Check Box 86" hidden="1">
              <a:extLst>
                <a:ext uri="{63B3BB69-23CF-44E3-9099-C40C66FF867C}">
                  <a14:compatExt spid="_x0000_s3158"/>
                </a:ext>
                <a:ext uri="{FF2B5EF4-FFF2-40B4-BE49-F238E27FC236}">
                  <a16:creationId xmlns:a16="http://schemas.microsoft.com/office/drawing/2014/main" id="{00000000-0008-0000-0000-00005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29</xdr:row>
          <xdr:rowOff>9525</xdr:rowOff>
        </xdr:from>
        <xdr:to>
          <xdr:col>4</xdr:col>
          <xdr:colOff>581025</xdr:colOff>
          <xdr:row>30</xdr:row>
          <xdr:rowOff>19050</xdr:rowOff>
        </xdr:to>
        <xdr:sp macro="" textlink="">
          <xdr:nvSpPr>
            <xdr:cNvPr id="3159" name="Check Box 87" hidden="1">
              <a:extLst>
                <a:ext uri="{63B3BB69-23CF-44E3-9099-C40C66FF867C}">
                  <a14:compatExt spid="_x0000_s3159"/>
                </a:ext>
                <a:ext uri="{FF2B5EF4-FFF2-40B4-BE49-F238E27FC236}">
                  <a16:creationId xmlns:a16="http://schemas.microsoft.com/office/drawing/2014/main" id="{00000000-0008-0000-0000-00005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38</xdr:row>
          <xdr:rowOff>9525</xdr:rowOff>
        </xdr:from>
        <xdr:to>
          <xdr:col>4</xdr:col>
          <xdr:colOff>581025</xdr:colOff>
          <xdr:row>38</xdr:row>
          <xdr:rowOff>276225</xdr:rowOff>
        </xdr:to>
        <xdr:sp macro="" textlink="">
          <xdr:nvSpPr>
            <xdr:cNvPr id="3160" name="Check Box 88" hidden="1">
              <a:extLst>
                <a:ext uri="{63B3BB69-23CF-44E3-9099-C40C66FF867C}">
                  <a14:compatExt spid="_x0000_s3160"/>
                </a:ext>
                <a:ext uri="{FF2B5EF4-FFF2-40B4-BE49-F238E27FC236}">
                  <a16:creationId xmlns:a16="http://schemas.microsoft.com/office/drawing/2014/main" id="{00000000-0008-0000-0000-00005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32</xdr:row>
          <xdr:rowOff>9525</xdr:rowOff>
        </xdr:from>
        <xdr:to>
          <xdr:col>4</xdr:col>
          <xdr:colOff>581025</xdr:colOff>
          <xdr:row>32</xdr:row>
          <xdr:rowOff>266700</xdr:rowOff>
        </xdr:to>
        <xdr:sp macro="" textlink="">
          <xdr:nvSpPr>
            <xdr:cNvPr id="3161" name="Check Box 89" hidden="1">
              <a:extLst>
                <a:ext uri="{63B3BB69-23CF-44E3-9099-C40C66FF867C}">
                  <a14:compatExt spid="_x0000_s3161"/>
                </a:ext>
                <a:ext uri="{FF2B5EF4-FFF2-40B4-BE49-F238E27FC236}">
                  <a16:creationId xmlns:a16="http://schemas.microsoft.com/office/drawing/2014/main" id="{00000000-0008-0000-0000-00005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809625</xdr:colOff>
          <xdr:row>32</xdr:row>
          <xdr:rowOff>28575</xdr:rowOff>
        </xdr:from>
        <xdr:to>
          <xdr:col>5</xdr:col>
          <xdr:colOff>266700</xdr:colOff>
          <xdr:row>32</xdr:row>
          <xdr:rowOff>238125</xdr:rowOff>
        </xdr:to>
        <xdr:sp macro="" textlink="">
          <xdr:nvSpPr>
            <xdr:cNvPr id="3162" name="Check Box 90" hidden="1">
              <a:extLst>
                <a:ext uri="{63B3BB69-23CF-44E3-9099-C40C66FF867C}">
                  <a14:compatExt spid="_x0000_s3162"/>
                </a:ext>
                <a:ext uri="{FF2B5EF4-FFF2-40B4-BE49-F238E27FC236}">
                  <a16:creationId xmlns:a16="http://schemas.microsoft.com/office/drawing/2014/main" id="{00000000-0008-0000-0000-00005A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32</xdr:row>
          <xdr:rowOff>28575</xdr:rowOff>
        </xdr:from>
        <xdr:to>
          <xdr:col>6</xdr:col>
          <xdr:colOff>552450</xdr:colOff>
          <xdr:row>32</xdr:row>
          <xdr:rowOff>238125</xdr:rowOff>
        </xdr:to>
        <xdr:sp macro="" textlink="">
          <xdr:nvSpPr>
            <xdr:cNvPr id="3163" name="Check Box 91" hidden="1">
              <a:extLst>
                <a:ext uri="{63B3BB69-23CF-44E3-9099-C40C66FF867C}">
                  <a14:compatExt spid="_x0000_s3163"/>
                </a:ext>
                <a:ext uri="{FF2B5EF4-FFF2-40B4-BE49-F238E27FC236}">
                  <a16:creationId xmlns:a16="http://schemas.microsoft.com/office/drawing/2014/main" id="{00000000-0008-0000-0000-00005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FALTA DE INFORMACIÓN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32</xdr:row>
          <xdr:rowOff>9525</xdr:rowOff>
        </xdr:from>
        <xdr:to>
          <xdr:col>4</xdr:col>
          <xdr:colOff>581025</xdr:colOff>
          <xdr:row>32</xdr:row>
          <xdr:rowOff>276225</xdr:rowOff>
        </xdr:to>
        <xdr:sp macro="" textlink="">
          <xdr:nvSpPr>
            <xdr:cNvPr id="3164" name="Check Box 92" hidden="1">
              <a:extLst>
                <a:ext uri="{63B3BB69-23CF-44E3-9099-C40C66FF867C}">
                  <a14:compatExt spid="_x0000_s3164"/>
                </a:ext>
                <a:ext uri="{FF2B5EF4-FFF2-40B4-BE49-F238E27FC236}">
                  <a16:creationId xmlns:a16="http://schemas.microsoft.com/office/drawing/2014/main" id="{00000000-0008-0000-0000-00005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35</xdr:row>
          <xdr:rowOff>9525</xdr:rowOff>
        </xdr:from>
        <xdr:to>
          <xdr:col>4</xdr:col>
          <xdr:colOff>581025</xdr:colOff>
          <xdr:row>35</xdr:row>
          <xdr:rowOff>266700</xdr:rowOff>
        </xdr:to>
        <xdr:sp macro="" textlink="">
          <xdr:nvSpPr>
            <xdr:cNvPr id="3165" name="Check Box 93" hidden="1">
              <a:extLst>
                <a:ext uri="{63B3BB69-23CF-44E3-9099-C40C66FF867C}">
                  <a14:compatExt spid="_x0000_s3165"/>
                </a:ext>
                <a:ext uri="{FF2B5EF4-FFF2-40B4-BE49-F238E27FC236}">
                  <a16:creationId xmlns:a16="http://schemas.microsoft.com/office/drawing/2014/main" id="{00000000-0008-0000-0000-00005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809625</xdr:colOff>
          <xdr:row>35</xdr:row>
          <xdr:rowOff>28575</xdr:rowOff>
        </xdr:from>
        <xdr:to>
          <xdr:col>5</xdr:col>
          <xdr:colOff>266700</xdr:colOff>
          <xdr:row>35</xdr:row>
          <xdr:rowOff>238125</xdr:rowOff>
        </xdr:to>
        <xdr:sp macro="" textlink="">
          <xdr:nvSpPr>
            <xdr:cNvPr id="3166" name="Check Box 94" hidden="1">
              <a:extLst>
                <a:ext uri="{63B3BB69-23CF-44E3-9099-C40C66FF867C}">
                  <a14:compatExt spid="_x0000_s3166"/>
                </a:ext>
                <a:ext uri="{FF2B5EF4-FFF2-40B4-BE49-F238E27FC236}">
                  <a16:creationId xmlns:a16="http://schemas.microsoft.com/office/drawing/2014/main" id="{00000000-0008-0000-0000-00005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35</xdr:row>
          <xdr:rowOff>28575</xdr:rowOff>
        </xdr:from>
        <xdr:to>
          <xdr:col>6</xdr:col>
          <xdr:colOff>552450</xdr:colOff>
          <xdr:row>35</xdr:row>
          <xdr:rowOff>238125</xdr:rowOff>
        </xdr:to>
        <xdr:sp macro="" textlink="">
          <xdr:nvSpPr>
            <xdr:cNvPr id="3167" name="Check Box 95" hidden="1">
              <a:extLst>
                <a:ext uri="{63B3BB69-23CF-44E3-9099-C40C66FF867C}">
                  <a14:compatExt spid="_x0000_s3167"/>
                </a:ext>
                <a:ext uri="{FF2B5EF4-FFF2-40B4-BE49-F238E27FC236}">
                  <a16:creationId xmlns:a16="http://schemas.microsoft.com/office/drawing/2014/main" id="{00000000-0008-0000-0000-00005F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FALTA DE INFORMACIÓN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180975</xdr:colOff>
          <xdr:row>35</xdr:row>
          <xdr:rowOff>9525</xdr:rowOff>
        </xdr:from>
        <xdr:to>
          <xdr:col>4</xdr:col>
          <xdr:colOff>581025</xdr:colOff>
          <xdr:row>35</xdr:row>
          <xdr:rowOff>276225</xdr:rowOff>
        </xdr:to>
        <xdr:sp macro="" textlink="">
          <xdr:nvSpPr>
            <xdr:cNvPr id="3168" name="Check Box 96" hidden="1">
              <a:extLst>
                <a:ext uri="{63B3BB69-23CF-44E3-9099-C40C66FF867C}">
                  <a14:compatExt spid="_x0000_s3168"/>
                </a:ext>
                <a:ext uri="{FF2B5EF4-FFF2-40B4-BE49-F238E27FC236}">
                  <a16:creationId xmlns:a16="http://schemas.microsoft.com/office/drawing/2014/main" id="{00000000-0008-0000-0000-000060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MX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139701</xdr:colOff>
      <xdr:row>1</xdr:row>
      <xdr:rowOff>107217</xdr:rowOff>
    </xdr:from>
    <xdr:to>
      <xdr:col>1</xdr:col>
      <xdr:colOff>203200</xdr:colOff>
      <xdr:row>2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701" y="107217"/>
          <a:ext cx="825499" cy="191233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5-29T18:09:15.4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4816,'0'0'720,"13"42"-720,18-20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5-29T18:09:16.0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82 96,'0'0'0,"28"-23"176,-24 9 16,1-8 40,3 0 0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467BA7-30B1-4A5C-9BEA-094A33191BB9}" name="Tabla1" displayName="Tabla1" ref="AB48:AB54" totalsRowShown="0" headerRowDxfId="8" dataDxfId="7">
  <autoFilter ref="AB48:AB54" xr:uid="{9C467BA7-30B1-4A5C-9BEA-094A33191BB9}"/>
  <tableColumns count="1">
    <tableColumn id="1" xr3:uid="{4E287CF4-75DD-446B-9FDA-3AC4DF3F2C12}" name="Datos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9" Type="http://schemas.openxmlformats.org/officeDocument/2006/relationships/ctrlProp" Target="../ctrlProps/ctrlProp26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66" Type="http://schemas.openxmlformats.org/officeDocument/2006/relationships/ctrlProp" Target="../ctrlProps/ctrlProp63.xml"/><Relationship Id="rId5" Type="http://schemas.openxmlformats.org/officeDocument/2006/relationships/ctrlProp" Target="../ctrlProps/ctrlProp2.xml"/><Relationship Id="rId61" Type="http://schemas.openxmlformats.org/officeDocument/2006/relationships/ctrlProp" Target="../ctrlProps/ctrlProp58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56" Type="http://schemas.openxmlformats.org/officeDocument/2006/relationships/ctrlProp" Target="../ctrlProps/ctrlProp53.xml"/><Relationship Id="rId64" Type="http://schemas.openxmlformats.org/officeDocument/2006/relationships/ctrlProp" Target="../ctrlProps/ctrlProp61.xml"/><Relationship Id="rId69" Type="http://schemas.openxmlformats.org/officeDocument/2006/relationships/table" Target="../tables/table1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46" Type="http://schemas.openxmlformats.org/officeDocument/2006/relationships/ctrlProp" Target="../ctrlProps/ctrlProp43.xml"/><Relationship Id="rId59" Type="http://schemas.openxmlformats.org/officeDocument/2006/relationships/ctrlProp" Target="../ctrlProps/ctrlProp56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54" Type="http://schemas.openxmlformats.org/officeDocument/2006/relationships/ctrlProp" Target="../ctrlProps/ctrlProp51.xml"/><Relationship Id="rId62" Type="http://schemas.openxmlformats.org/officeDocument/2006/relationships/ctrlProp" Target="../ctrlProps/ctrlProp59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D0669-A2EE-457A-9550-45514E4ADA91}">
  <sheetPr>
    <pageSetUpPr fitToPage="1"/>
  </sheetPr>
  <dimension ref="A1:AI97"/>
  <sheetViews>
    <sheetView tabSelected="1" view="pageBreakPreview" zoomScale="115" zoomScaleNormal="115" zoomScaleSheetLayoutView="115" workbookViewId="0">
      <selection activeCell="M9" sqref="M9"/>
    </sheetView>
  </sheetViews>
  <sheetFormatPr baseColWidth="10" defaultRowHeight="14.25" x14ac:dyDescent="0.2"/>
  <cols>
    <col min="1" max="1" width="24.28515625" style="19" bestFit="1" customWidth="1"/>
    <col min="2" max="2" width="20.5703125" style="19" customWidth="1"/>
    <col min="3" max="3" width="21.85546875" style="19" bestFit="1" customWidth="1"/>
    <col min="4" max="4" width="19.5703125" style="19" bestFit="1" customWidth="1"/>
    <col min="5" max="5" width="16.85546875" style="19" customWidth="1"/>
    <col min="6" max="6" width="13.7109375" style="19" customWidth="1"/>
    <col min="7" max="7" width="14.28515625" style="19" bestFit="1" customWidth="1"/>
    <col min="8" max="8" width="3.140625" style="19" customWidth="1"/>
    <col min="9" max="9" width="23.7109375" style="19" bestFit="1" customWidth="1"/>
    <col min="10" max="10" width="20.5703125" style="19" bestFit="1" customWidth="1"/>
    <col min="11" max="23" width="11.42578125" style="19"/>
    <col min="24" max="25" width="12.140625" style="19" bestFit="1" customWidth="1"/>
    <col min="26" max="26" width="13.140625" style="19" bestFit="1" customWidth="1"/>
    <col min="27" max="16384" width="11.42578125" style="19"/>
  </cols>
  <sheetData>
    <row r="1" spans="1:31" ht="27" customHeight="1" thickTop="1" thickBot="1" x14ac:dyDescent="0.25">
      <c r="A1" s="144"/>
      <c r="B1" s="81" t="s">
        <v>85</v>
      </c>
      <c r="C1" s="82"/>
      <c r="D1" s="82"/>
      <c r="E1" s="82"/>
      <c r="F1" s="82"/>
      <c r="G1" s="82"/>
      <c r="H1" s="83"/>
      <c r="I1" s="167" t="s">
        <v>88</v>
      </c>
      <c r="J1" s="168"/>
    </row>
    <row r="2" spans="1:31" ht="63" customHeight="1" thickTop="1" thickBot="1" x14ac:dyDescent="0.25">
      <c r="A2" s="145"/>
      <c r="B2" s="84" t="s">
        <v>57</v>
      </c>
      <c r="C2" s="85"/>
      <c r="D2" s="85"/>
      <c r="E2" s="85"/>
      <c r="F2" s="85"/>
      <c r="G2" s="85"/>
      <c r="H2" s="86"/>
      <c r="I2" s="169" t="s">
        <v>89</v>
      </c>
      <c r="J2" s="168"/>
    </row>
    <row r="3" spans="1:31" ht="16.5" thickTop="1" thickBot="1" x14ac:dyDescent="0.25">
      <c r="A3" s="178" t="s">
        <v>47</v>
      </c>
      <c r="B3" s="179"/>
      <c r="C3" s="179"/>
      <c r="D3" s="179"/>
      <c r="E3" s="179"/>
      <c r="F3" s="179"/>
      <c r="G3" s="179"/>
      <c r="H3" s="179"/>
      <c r="I3" s="179"/>
      <c r="J3" s="180"/>
    </row>
    <row r="4" spans="1:31" ht="18.600000000000001" customHeight="1" thickTop="1" thickBot="1" x14ac:dyDescent="0.25">
      <c r="A4" s="51" t="s">
        <v>69</v>
      </c>
      <c r="B4" s="181"/>
      <c r="C4" s="181"/>
      <c r="D4" s="94" t="s">
        <v>8</v>
      </c>
      <c r="E4" s="94"/>
      <c r="F4" s="143">
        <f ca="1">TODAY()</f>
        <v>45834</v>
      </c>
      <c r="G4" s="143"/>
      <c r="H4" s="143"/>
      <c r="I4" s="143"/>
      <c r="J4" s="143"/>
    </row>
    <row r="5" spans="1:31" ht="22.5" customHeight="1" thickTop="1" thickBot="1" x14ac:dyDescent="0.25">
      <c r="A5" s="52" t="s">
        <v>4</v>
      </c>
      <c r="B5" s="176"/>
      <c r="C5" s="176"/>
      <c r="D5" s="94" t="s">
        <v>5</v>
      </c>
      <c r="E5" s="94"/>
      <c r="F5" s="176"/>
      <c r="G5" s="176"/>
      <c r="H5" s="176"/>
      <c r="I5" s="176"/>
      <c r="J5" s="176"/>
      <c r="Z5" s="20"/>
      <c r="AA5" s="20"/>
      <c r="AB5" s="20"/>
      <c r="AD5" s="21"/>
      <c r="AE5" s="21"/>
    </row>
    <row r="6" spans="1:31" ht="26.1" customHeight="1" thickTop="1" thickBot="1" x14ac:dyDescent="0.3">
      <c r="A6" s="52" t="s">
        <v>66</v>
      </c>
      <c r="B6" s="176"/>
      <c r="C6" s="176"/>
      <c r="D6" s="94" t="s">
        <v>6</v>
      </c>
      <c r="E6" s="94"/>
      <c r="F6" s="177"/>
      <c r="G6" s="176"/>
      <c r="H6" s="176"/>
      <c r="I6" s="176"/>
      <c r="J6" s="176"/>
      <c r="AA6" s="22"/>
    </row>
    <row r="7" spans="1:31" ht="15.6" customHeight="1" thickTop="1" thickBot="1" x14ac:dyDescent="0.3">
      <c r="A7" s="53" t="s">
        <v>64</v>
      </c>
      <c r="B7" s="23" t="s">
        <v>9</v>
      </c>
      <c r="C7" s="23" t="s">
        <v>33</v>
      </c>
      <c r="D7" s="162" t="s">
        <v>3</v>
      </c>
      <c r="E7" s="163"/>
      <c r="F7" s="163"/>
      <c r="G7" s="163"/>
      <c r="H7" s="163"/>
      <c r="I7" s="163"/>
      <c r="J7" s="164"/>
    </row>
    <row r="8" spans="1:31" ht="15.6" customHeight="1" thickTop="1" x14ac:dyDescent="0.2">
      <c r="A8" s="160"/>
      <c r="B8" s="158"/>
      <c r="C8" s="160"/>
      <c r="D8" s="146"/>
      <c r="E8" s="147"/>
      <c r="F8" s="147"/>
      <c r="G8" s="147"/>
      <c r="H8" s="147"/>
      <c r="I8" s="147"/>
      <c r="J8" s="148"/>
      <c r="K8" s="54"/>
    </row>
    <row r="9" spans="1:31" ht="27.6" customHeight="1" thickBot="1" x14ac:dyDescent="0.25">
      <c r="A9" s="161"/>
      <c r="B9" s="159"/>
      <c r="C9" s="161"/>
      <c r="D9" s="149"/>
      <c r="E9" s="150"/>
      <c r="F9" s="150"/>
      <c r="G9" s="150"/>
      <c r="H9" s="150"/>
      <c r="I9" s="150"/>
      <c r="J9" s="151"/>
      <c r="K9" s="54"/>
    </row>
    <row r="10" spans="1:31" ht="17.25" thickTop="1" thickBot="1" x14ac:dyDescent="0.3">
      <c r="A10" s="120" t="s">
        <v>67</v>
      </c>
      <c r="B10" s="120"/>
      <c r="C10" s="155"/>
      <c r="D10" s="149"/>
      <c r="E10" s="150"/>
      <c r="F10" s="150"/>
      <c r="G10" s="150"/>
      <c r="H10" s="150"/>
      <c r="I10" s="150"/>
      <c r="J10" s="151"/>
      <c r="K10" s="54"/>
    </row>
    <row r="11" spans="1:31" ht="15.75" thickTop="1" thickBot="1" x14ac:dyDescent="0.25">
      <c r="A11" s="156"/>
      <c r="B11" s="156"/>
      <c r="C11" s="156"/>
      <c r="D11" s="149"/>
      <c r="E11" s="150"/>
      <c r="F11" s="150"/>
      <c r="G11" s="150"/>
      <c r="H11" s="150"/>
      <c r="I11" s="150"/>
      <c r="J11" s="151"/>
      <c r="K11" s="54"/>
    </row>
    <row r="12" spans="1:31" ht="15.75" thickTop="1" thickBot="1" x14ac:dyDescent="0.25">
      <c r="A12" s="156"/>
      <c r="B12" s="156"/>
      <c r="C12" s="156"/>
      <c r="D12" s="149"/>
      <c r="E12" s="150"/>
      <c r="F12" s="150"/>
      <c r="G12" s="150"/>
      <c r="H12" s="150"/>
      <c r="I12" s="150"/>
      <c r="J12" s="151"/>
    </row>
    <row r="13" spans="1:31" ht="15.75" thickTop="1" thickBot="1" x14ac:dyDescent="0.25">
      <c r="A13" s="156"/>
      <c r="B13" s="156"/>
      <c r="C13" s="156"/>
      <c r="D13" s="149"/>
      <c r="E13" s="150"/>
      <c r="F13" s="150"/>
      <c r="G13" s="150"/>
      <c r="H13" s="150"/>
      <c r="I13" s="150"/>
      <c r="J13" s="151"/>
    </row>
    <row r="14" spans="1:31" ht="15.75" thickTop="1" thickBot="1" x14ac:dyDescent="0.25">
      <c r="A14" s="156"/>
      <c r="B14" s="156"/>
      <c r="C14" s="156"/>
      <c r="D14" s="149"/>
      <c r="E14" s="150"/>
      <c r="F14" s="150"/>
      <c r="G14" s="150"/>
      <c r="H14" s="150"/>
      <c r="I14" s="150"/>
      <c r="J14" s="151"/>
    </row>
    <row r="15" spans="1:31" ht="15.75" thickTop="1" thickBot="1" x14ac:dyDescent="0.25">
      <c r="A15" s="156"/>
      <c r="B15" s="156"/>
      <c r="C15" s="156"/>
      <c r="D15" s="152"/>
      <c r="E15" s="153"/>
      <c r="F15" s="153"/>
      <c r="G15" s="153"/>
      <c r="H15" s="153"/>
      <c r="I15" s="153"/>
      <c r="J15" s="154"/>
    </row>
    <row r="16" spans="1:31" ht="15.95" customHeight="1" thickTop="1" x14ac:dyDescent="0.2">
      <c r="A16" s="157" t="s">
        <v>68</v>
      </c>
      <c r="B16" s="157"/>
      <c r="C16" s="157"/>
      <c r="D16" s="157"/>
      <c r="E16" s="157"/>
      <c r="F16" s="157"/>
      <c r="G16" s="157"/>
      <c r="H16" s="157"/>
      <c r="I16" s="157"/>
      <c r="J16" s="157"/>
    </row>
    <row r="17" spans="1:10" ht="15.95" customHeight="1" thickBot="1" x14ac:dyDescent="0.25">
      <c r="A17" s="91" t="s">
        <v>83</v>
      </c>
      <c r="B17" s="92"/>
      <c r="C17" s="92"/>
      <c r="D17" s="92"/>
      <c r="E17" s="92"/>
      <c r="F17" s="92"/>
      <c r="G17" s="92"/>
      <c r="H17" s="92"/>
      <c r="I17" s="92"/>
      <c r="J17" s="93"/>
    </row>
    <row r="18" spans="1:10" s="24" customFormat="1" ht="19.5" customHeight="1" thickTop="1" x14ac:dyDescent="0.25">
      <c r="A18" s="55">
        <v>1</v>
      </c>
      <c r="B18" s="165" t="s">
        <v>70</v>
      </c>
      <c r="C18" s="165"/>
      <c r="D18" s="165"/>
      <c r="E18" s="116"/>
      <c r="F18" s="116"/>
      <c r="G18" s="116"/>
      <c r="H18" s="142" t="s">
        <v>0</v>
      </c>
      <c r="I18" s="142"/>
      <c r="J18" s="56" t="s">
        <v>56</v>
      </c>
    </row>
    <row r="19" spans="1:10" s="24" customFormat="1" ht="14.25" customHeight="1" x14ac:dyDescent="0.25">
      <c r="A19" s="75" t="s">
        <v>49</v>
      </c>
      <c r="B19" s="74"/>
      <c r="C19" s="74"/>
      <c r="D19" s="74"/>
      <c r="E19" s="74" t="s">
        <v>72</v>
      </c>
      <c r="F19" s="74"/>
      <c r="G19" s="74"/>
      <c r="H19" s="74"/>
      <c r="I19" s="74"/>
      <c r="J19" s="76"/>
    </row>
    <row r="20" spans="1:10" s="24" customFormat="1" ht="31.5" customHeight="1" x14ac:dyDescent="0.25">
      <c r="A20" s="105"/>
      <c r="B20" s="106"/>
      <c r="C20" s="106"/>
      <c r="D20" s="106"/>
      <c r="E20" s="98"/>
      <c r="F20" s="96"/>
      <c r="G20" s="96"/>
      <c r="H20" s="96"/>
      <c r="I20" s="96"/>
      <c r="J20" s="99"/>
    </row>
    <row r="21" spans="1:10" s="24" customFormat="1" ht="19.5" customHeight="1" x14ac:dyDescent="0.25">
      <c r="A21" s="57">
        <v>2</v>
      </c>
      <c r="B21" s="100" t="s">
        <v>71</v>
      </c>
      <c r="C21" s="101"/>
      <c r="D21" s="102"/>
      <c r="E21" s="80"/>
      <c r="F21" s="80"/>
      <c r="G21" s="80"/>
      <c r="H21" s="74" t="s">
        <v>0</v>
      </c>
      <c r="I21" s="74"/>
      <c r="J21" s="58" t="s">
        <v>56</v>
      </c>
    </row>
    <row r="22" spans="1:10" s="24" customFormat="1" ht="14.25" customHeight="1" x14ac:dyDescent="0.25">
      <c r="A22" s="75" t="s">
        <v>49</v>
      </c>
      <c r="B22" s="74"/>
      <c r="C22" s="74"/>
      <c r="D22" s="74"/>
      <c r="E22" s="74" t="s">
        <v>72</v>
      </c>
      <c r="F22" s="74"/>
      <c r="G22" s="74"/>
      <c r="H22" s="74"/>
      <c r="I22" s="74"/>
      <c r="J22" s="76"/>
    </row>
    <row r="23" spans="1:10" s="24" customFormat="1" ht="29.25" customHeight="1" x14ac:dyDescent="0.25">
      <c r="A23" s="95"/>
      <c r="B23" s="96"/>
      <c r="C23" s="96"/>
      <c r="D23" s="97"/>
      <c r="E23" s="98"/>
      <c r="F23" s="96"/>
      <c r="G23" s="96"/>
      <c r="H23" s="96"/>
      <c r="I23" s="96"/>
      <c r="J23" s="99"/>
    </row>
    <row r="24" spans="1:10" s="24" customFormat="1" ht="19.5" customHeight="1" x14ac:dyDescent="0.25">
      <c r="A24" s="57">
        <v>3</v>
      </c>
      <c r="B24" s="100" t="s">
        <v>11</v>
      </c>
      <c r="C24" s="101"/>
      <c r="D24" s="102"/>
      <c r="E24" s="80"/>
      <c r="F24" s="80"/>
      <c r="G24" s="80"/>
      <c r="H24" s="74" t="s">
        <v>0</v>
      </c>
      <c r="I24" s="74"/>
      <c r="J24" s="58" t="s">
        <v>56</v>
      </c>
    </row>
    <row r="25" spans="1:10" s="24" customFormat="1" ht="14.25" customHeight="1" x14ac:dyDescent="0.25">
      <c r="A25" s="75" t="s">
        <v>49</v>
      </c>
      <c r="B25" s="74"/>
      <c r="C25" s="74"/>
      <c r="D25" s="74"/>
      <c r="E25" s="74" t="s">
        <v>72</v>
      </c>
      <c r="F25" s="74"/>
      <c r="G25" s="74"/>
      <c r="H25" s="74"/>
      <c r="I25" s="74"/>
      <c r="J25" s="76"/>
    </row>
    <row r="26" spans="1:10" s="24" customFormat="1" ht="27.75" customHeight="1" x14ac:dyDescent="0.25">
      <c r="A26" s="95"/>
      <c r="B26" s="96"/>
      <c r="C26" s="96"/>
      <c r="D26" s="97"/>
      <c r="E26" s="98"/>
      <c r="F26" s="96"/>
      <c r="G26" s="96"/>
      <c r="H26" s="96"/>
      <c r="I26" s="96"/>
      <c r="J26" s="99"/>
    </row>
    <row r="27" spans="1:10" s="24" customFormat="1" ht="19.5" customHeight="1" x14ac:dyDescent="0.25">
      <c r="A27" s="57">
        <v>4</v>
      </c>
      <c r="B27" s="100" t="s">
        <v>10</v>
      </c>
      <c r="C27" s="101"/>
      <c r="D27" s="102"/>
      <c r="E27" s="80"/>
      <c r="F27" s="80"/>
      <c r="G27" s="80"/>
      <c r="H27" s="74" t="s">
        <v>0</v>
      </c>
      <c r="I27" s="74"/>
      <c r="J27" s="58" t="s">
        <v>56</v>
      </c>
    </row>
    <row r="28" spans="1:10" s="24" customFormat="1" ht="14.25" customHeight="1" x14ac:dyDescent="0.25">
      <c r="A28" s="75" t="s">
        <v>49</v>
      </c>
      <c r="B28" s="74"/>
      <c r="C28" s="74"/>
      <c r="D28" s="74"/>
      <c r="E28" s="74" t="s">
        <v>72</v>
      </c>
      <c r="F28" s="74"/>
      <c r="G28" s="74"/>
      <c r="H28" s="74"/>
      <c r="I28" s="74"/>
      <c r="J28" s="76"/>
    </row>
    <row r="29" spans="1:10" s="24" customFormat="1" ht="28.5" customHeight="1" x14ac:dyDescent="0.25">
      <c r="A29" s="95"/>
      <c r="B29" s="96"/>
      <c r="C29" s="96"/>
      <c r="D29" s="97"/>
      <c r="E29" s="98"/>
      <c r="F29" s="96"/>
      <c r="G29" s="96"/>
      <c r="H29" s="96"/>
      <c r="I29" s="96"/>
      <c r="J29" s="99"/>
    </row>
    <row r="30" spans="1:10" s="24" customFormat="1" ht="19.5" customHeight="1" x14ac:dyDescent="0.25">
      <c r="A30" s="57">
        <v>5</v>
      </c>
      <c r="B30" s="100" t="s">
        <v>12</v>
      </c>
      <c r="C30" s="101"/>
      <c r="D30" s="102"/>
      <c r="E30" s="80"/>
      <c r="F30" s="80"/>
      <c r="G30" s="80"/>
      <c r="H30" s="74" t="s">
        <v>0</v>
      </c>
      <c r="I30" s="74"/>
      <c r="J30" s="58" t="s">
        <v>1</v>
      </c>
    </row>
    <row r="31" spans="1:10" s="24" customFormat="1" ht="14.25" customHeight="1" x14ac:dyDescent="0.25">
      <c r="A31" s="75" t="s">
        <v>49</v>
      </c>
      <c r="B31" s="74"/>
      <c r="C31" s="74"/>
      <c r="D31" s="74"/>
      <c r="E31" s="74" t="s">
        <v>72</v>
      </c>
      <c r="F31" s="74"/>
      <c r="G31" s="74"/>
      <c r="H31" s="74"/>
      <c r="I31" s="74"/>
      <c r="J31" s="76"/>
    </row>
    <row r="32" spans="1:10" s="24" customFormat="1" ht="37.5" customHeight="1" x14ac:dyDescent="0.25">
      <c r="A32" s="95"/>
      <c r="B32" s="96"/>
      <c r="C32" s="96"/>
      <c r="D32" s="97"/>
      <c r="E32" s="98"/>
      <c r="F32" s="96"/>
      <c r="G32" s="96"/>
      <c r="H32" s="96"/>
      <c r="I32" s="96"/>
      <c r="J32" s="99"/>
    </row>
    <row r="33" spans="1:28" s="24" customFormat="1" ht="37.5" customHeight="1" x14ac:dyDescent="0.35">
      <c r="A33" s="59">
        <v>6</v>
      </c>
      <c r="B33" s="100" t="s">
        <v>13</v>
      </c>
      <c r="C33" s="101"/>
      <c r="D33" s="102"/>
      <c r="E33" s="80"/>
      <c r="F33" s="80"/>
      <c r="G33" s="80"/>
      <c r="H33" s="74" t="s">
        <v>0</v>
      </c>
      <c r="I33" s="74"/>
      <c r="J33" s="58" t="s">
        <v>56</v>
      </c>
    </row>
    <row r="34" spans="1:28" s="24" customFormat="1" ht="37.5" customHeight="1" x14ac:dyDescent="0.25">
      <c r="A34" s="75" t="s">
        <v>49</v>
      </c>
      <c r="B34" s="74"/>
      <c r="C34" s="74"/>
      <c r="D34" s="74"/>
      <c r="E34" s="74" t="s">
        <v>72</v>
      </c>
      <c r="F34" s="74"/>
      <c r="G34" s="74"/>
      <c r="H34" s="74"/>
      <c r="I34" s="74"/>
      <c r="J34" s="76"/>
    </row>
    <row r="35" spans="1:28" s="24" customFormat="1" ht="37.5" customHeight="1" thickBot="1" x14ac:dyDescent="0.3">
      <c r="A35" s="69"/>
      <c r="B35" s="70"/>
      <c r="C35" s="70"/>
      <c r="D35" s="71"/>
      <c r="E35" s="72"/>
      <c r="F35" s="70"/>
      <c r="G35" s="70"/>
      <c r="H35" s="70"/>
      <c r="I35" s="70"/>
      <c r="J35" s="73"/>
    </row>
    <row r="36" spans="1:28" s="24" customFormat="1" ht="37.5" customHeight="1" thickTop="1" x14ac:dyDescent="0.35">
      <c r="A36" s="59">
        <v>7</v>
      </c>
      <c r="B36" s="77" t="s">
        <v>86</v>
      </c>
      <c r="C36" s="78"/>
      <c r="D36" s="79"/>
      <c r="E36" s="80"/>
      <c r="F36" s="80"/>
      <c r="G36" s="80"/>
      <c r="H36" s="74" t="s">
        <v>0</v>
      </c>
      <c r="I36" s="74"/>
      <c r="J36" s="58" t="s">
        <v>56</v>
      </c>
    </row>
    <row r="37" spans="1:28" s="24" customFormat="1" ht="37.5" customHeight="1" x14ac:dyDescent="0.25">
      <c r="A37" s="75" t="s">
        <v>49</v>
      </c>
      <c r="B37" s="74"/>
      <c r="C37" s="74"/>
      <c r="D37" s="74"/>
      <c r="E37" s="74" t="s">
        <v>72</v>
      </c>
      <c r="F37" s="74"/>
      <c r="G37" s="74"/>
      <c r="H37" s="74"/>
      <c r="I37" s="74"/>
      <c r="J37" s="76"/>
    </row>
    <row r="38" spans="1:28" s="24" customFormat="1" ht="37.5" customHeight="1" thickBot="1" x14ac:dyDescent="0.3">
      <c r="A38" s="69"/>
      <c r="B38" s="70"/>
      <c r="C38" s="70"/>
      <c r="D38" s="71"/>
      <c r="E38" s="72"/>
      <c r="F38" s="70"/>
      <c r="G38" s="70"/>
      <c r="H38" s="70"/>
      <c r="I38" s="70"/>
      <c r="J38" s="73"/>
    </row>
    <row r="39" spans="1:28" ht="28.5" customHeight="1" thickTop="1" x14ac:dyDescent="0.35">
      <c r="A39" s="59">
        <v>8</v>
      </c>
      <c r="B39" s="77" t="s">
        <v>87</v>
      </c>
      <c r="C39" s="78"/>
      <c r="D39" s="79"/>
      <c r="E39" s="80"/>
      <c r="F39" s="80"/>
      <c r="G39" s="80"/>
      <c r="H39" s="74" t="s">
        <v>0</v>
      </c>
      <c r="I39" s="74"/>
      <c r="J39" s="58" t="s">
        <v>56</v>
      </c>
    </row>
    <row r="40" spans="1:28" s="24" customFormat="1" ht="14.25" customHeight="1" x14ac:dyDescent="0.25">
      <c r="A40" s="75" t="s">
        <v>49</v>
      </c>
      <c r="B40" s="74"/>
      <c r="C40" s="74"/>
      <c r="D40" s="74"/>
      <c r="E40" s="74" t="s">
        <v>72</v>
      </c>
      <c r="F40" s="74"/>
      <c r="G40" s="74"/>
      <c r="H40" s="74"/>
      <c r="I40" s="74"/>
      <c r="J40" s="76"/>
    </row>
    <row r="41" spans="1:28" s="24" customFormat="1" ht="37.5" customHeight="1" thickBot="1" x14ac:dyDescent="0.3">
      <c r="A41" s="69"/>
      <c r="B41" s="70"/>
      <c r="C41" s="70"/>
      <c r="D41" s="71"/>
      <c r="E41" s="72"/>
      <c r="F41" s="70"/>
      <c r="G41" s="70"/>
      <c r="H41" s="70"/>
      <c r="I41" s="70"/>
      <c r="J41" s="73"/>
    </row>
    <row r="42" spans="1:28" ht="18.75" customHeight="1" thickTop="1" thickBot="1" x14ac:dyDescent="0.25">
      <c r="A42" s="90" t="s">
        <v>73</v>
      </c>
      <c r="B42" s="90"/>
      <c r="C42" s="90"/>
      <c r="D42" s="90"/>
      <c r="E42" s="90"/>
      <c r="F42" s="90"/>
      <c r="G42" s="90"/>
      <c r="H42" s="90"/>
      <c r="I42" s="90"/>
      <c r="J42" s="90"/>
    </row>
    <row r="43" spans="1:28" ht="27" customHeight="1" thickTop="1" x14ac:dyDescent="0.2">
      <c r="A43" s="170" t="s">
        <v>84</v>
      </c>
      <c r="B43" s="171"/>
      <c r="C43" s="171"/>
      <c r="D43" s="171"/>
      <c r="E43" s="171"/>
      <c r="F43" s="171"/>
      <c r="G43" s="171"/>
      <c r="H43" s="171"/>
      <c r="I43" s="171"/>
      <c r="J43" s="172"/>
    </row>
    <row r="44" spans="1:28" ht="27" customHeight="1" thickBot="1" x14ac:dyDescent="0.25">
      <c r="A44" s="173"/>
      <c r="B44" s="174"/>
      <c r="C44" s="174"/>
      <c r="D44" s="174"/>
      <c r="E44" s="174"/>
      <c r="F44" s="174"/>
      <c r="G44" s="174"/>
      <c r="H44" s="174"/>
      <c r="I44" s="174"/>
      <c r="J44" s="175"/>
    </row>
    <row r="45" spans="1:28" ht="18.75" customHeight="1" thickTop="1" x14ac:dyDescent="0.2">
      <c r="A45" s="123" t="s">
        <v>36</v>
      </c>
      <c r="B45" s="25">
        <v>2</v>
      </c>
      <c r="C45" s="26" t="s">
        <v>54</v>
      </c>
      <c r="D45" s="129">
        <f>COUNTIFS(A49:A68,"x")</f>
        <v>0</v>
      </c>
      <c r="E45" s="126" t="s">
        <v>42</v>
      </c>
      <c r="F45" s="27">
        <f>COUNTIFS(G49:G68,"factible",A49:A68,"X")</f>
        <v>0</v>
      </c>
      <c r="G45" s="28" t="s">
        <v>39</v>
      </c>
      <c r="H45" s="29">
        <v>1</v>
      </c>
      <c r="I45" s="132" t="e">
        <f>F45/D45</f>
        <v>#DIV/0!</v>
      </c>
      <c r="J45" s="135" t="s">
        <v>43</v>
      </c>
      <c r="X45" s="30"/>
    </row>
    <row r="46" spans="1:28" ht="15" customHeight="1" x14ac:dyDescent="0.2">
      <c r="A46" s="124"/>
      <c r="B46" s="31">
        <v>1</v>
      </c>
      <c r="C46" s="32" t="s">
        <v>55</v>
      </c>
      <c r="D46" s="130"/>
      <c r="E46" s="127"/>
      <c r="F46" s="33">
        <f>COUNTIFS(G49:G68,"PocoFactible",A49:A68,"X")</f>
        <v>0</v>
      </c>
      <c r="G46" s="34" t="s">
        <v>40</v>
      </c>
      <c r="H46" s="35">
        <v>2</v>
      </c>
      <c r="I46" s="133"/>
      <c r="J46" s="136"/>
      <c r="X46" s="30"/>
    </row>
    <row r="47" spans="1:28" ht="15" customHeight="1" thickBot="1" x14ac:dyDescent="0.25">
      <c r="A47" s="125"/>
      <c r="B47" s="36">
        <v>0</v>
      </c>
      <c r="C47" s="36" t="s">
        <v>44</v>
      </c>
      <c r="D47" s="131"/>
      <c r="E47" s="128"/>
      <c r="F47" s="37">
        <f>COUNTIFS(G49:G68,"NoFactible",A49:A68,"X")</f>
        <v>0</v>
      </c>
      <c r="G47" s="38" t="s">
        <v>41</v>
      </c>
      <c r="H47" s="39">
        <v>3</v>
      </c>
      <c r="I47" s="134"/>
      <c r="J47" s="137"/>
      <c r="X47" s="30"/>
    </row>
    <row r="48" spans="1:28" ht="17.25" thickTop="1" thickBot="1" x14ac:dyDescent="0.3">
      <c r="A48" s="40" t="s">
        <v>38</v>
      </c>
      <c r="B48" s="40" t="s">
        <v>14</v>
      </c>
      <c r="C48" s="40" t="s">
        <v>31</v>
      </c>
      <c r="D48" s="40" t="s">
        <v>30</v>
      </c>
      <c r="E48" s="40" t="s">
        <v>29</v>
      </c>
      <c r="F48" s="40" t="s">
        <v>34</v>
      </c>
      <c r="G48" s="120" t="s">
        <v>37</v>
      </c>
      <c r="H48" s="120"/>
      <c r="I48" s="94" t="s">
        <v>72</v>
      </c>
      <c r="J48" s="94"/>
      <c r="Y48" s="119" t="s">
        <v>46</v>
      </c>
      <c r="Z48" s="119"/>
      <c r="AB48" s="24" t="s">
        <v>46</v>
      </c>
    </row>
    <row r="49" spans="1:28" ht="16.5" thickTop="1" thickBot="1" x14ac:dyDescent="0.25">
      <c r="A49" s="41"/>
      <c r="B49" s="1" t="s">
        <v>74</v>
      </c>
      <c r="C49" s="42"/>
      <c r="D49" s="42"/>
      <c r="E49" s="42"/>
      <c r="F49" s="62">
        <f t="shared" ref="F49:F68" si="0">SUM(C49:E49)</f>
        <v>0</v>
      </c>
      <c r="G49" s="66" t="str">
        <f>IF(F49&gt;5,"Factible",IF(F49&lt;=3,"NoFactible","PocoFactible"))</f>
        <v>NoFactible</v>
      </c>
      <c r="H49" s="65">
        <f>VLOOKUP(G49,$Y$49:$Z$51,2,FALSE)</f>
        <v>1</v>
      </c>
      <c r="I49" s="117"/>
      <c r="J49" s="118"/>
      <c r="Y49" s="43" t="s">
        <v>37</v>
      </c>
      <c r="Z49" s="43">
        <v>3</v>
      </c>
      <c r="AB49" s="19" t="s">
        <v>56</v>
      </c>
    </row>
    <row r="50" spans="1:28" ht="16.5" thickTop="1" thickBot="1" x14ac:dyDescent="0.25">
      <c r="A50" s="44"/>
      <c r="B50" s="2" t="s">
        <v>15</v>
      </c>
      <c r="C50" s="45"/>
      <c r="D50" s="45"/>
      <c r="E50" s="45"/>
      <c r="F50" s="63">
        <f t="shared" si="0"/>
        <v>0</v>
      </c>
      <c r="G50" s="67" t="str">
        <f>IF(F50&gt;5,"Factible",IF(F50&lt;=3,"NoFactible","PocoFactible"))</f>
        <v>NoFactible</v>
      </c>
      <c r="H50" s="65">
        <f t="shared" ref="H50:H68" si="1">VLOOKUP(G50,$Y$49:$Z$51,2,FALSE)</f>
        <v>1</v>
      </c>
      <c r="I50" s="103"/>
      <c r="J50" s="104"/>
      <c r="Y50" s="43" t="s">
        <v>40</v>
      </c>
      <c r="Z50" s="43">
        <v>2</v>
      </c>
      <c r="AB50" s="24" t="s">
        <v>50</v>
      </c>
    </row>
    <row r="51" spans="1:28" ht="16.5" thickTop="1" thickBot="1" x14ac:dyDescent="0.25">
      <c r="A51" s="44"/>
      <c r="B51" s="2" t="s">
        <v>16</v>
      </c>
      <c r="C51" s="45"/>
      <c r="D51" s="45"/>
      <c r="E51" s="45"/>
      <c r="F51" s="63">
        <f t="shared" si="0"/>
        <v>0</v>
      </c>
      <c r="G51" s="67" t="str">
        <f t="shared" ref="G51:G68" si="2">IF(F51&gt;5,"Factible",IF(F51&lt;=3,"NoFactible","PocoFactible"))</f>
        <v>NoFactible</v>
      </c>
      <c r="H51" s="65">
        <f>VLOOKUP(G51,$Y$49:$Z$51,2,FALSE)</f>
        <v>1</v>
      </c>
      <c r="I51" s="103"/>
      <c r="J51" s="104"/>
      <c r="Y51" s="43" t="s">
        <v>45</v>
      </c>
      <c r="Z51" s="43">
        <v>1</v>
      </c>
      <c r="AB51" s="19" t="s">
        <v>82</v>
      </c>
    </row>
    <row r="52" spans="1:28" ht="15.75" thickTop="1" x14ac:dyDescent="0.2">
      <c r="A52" s="44"/>
      <c r="B52" s="2" t="s">
        <v>17</v>
      </c>
      <c r="C52" s="45"/>
      <c r="D52" s="45"/>
      <c r="E52" s="45"/>
      <c r="F52" s="63">
        <f t="shared" si="0"/>
        <v>0</v>
      </c>
      <c r="G52" s="67" t="str">
        <f>IF(F52&gt;5,"Factible",IF(F52&lt;=3,"NoFactible","PocoFactible"))</f>
        <v>NoFactible</v>
      </c>
      <c r="H52" s="65">
        <f t="shared" si="1"/>
        <v>1</v>
      </c>
      <c r="I52" s="103"/>
      <c r="J52" s="166"/>
      <c r="K52" s="46"/>
      <c r="AB52" s="19" t="s">
        <v>1</v>
      </c>
    </row>
    <row r="53" spans="1:28" ht="15" x14ac:dyDescent="0.2">
      <c r="A53" s="44"/>
      <c r="B53" s="3" t="s">
        <v>18</v>
      </c>
      <c r="C53" s="45"/>
      <c r="D53" s="45"/>
      <c r="E53" s="45"/>
      <c r="F53" s="63">
        <f t="shared" si="0"/>
        <v>0</v>
      </c>
      <c r="G53" s="67" t="str">
        <f t="shared" si="2"/>
        <v>NoFactible</v>
      </c>
      <c r="H53" s="65">
        <f t="shared" si="1"/>
        <v>1</v>
      </c>
      <c r="I53" s="103"/>
      <c r="J53" s="104"/>
      <c r="AB53" s="19" t="s">
        <v>51</v>
      </c>
    </row>
    <row r="54" spans="1:28" ht="15" x14ac:dyDescent="0.2">
      <c r="A54" s="44"/>
      <c r="B54" s="3" t="s">
        <v>19</v>
      </c>
      <c r="C54" s="45"/>
      <c r="D54" s="45"/>
      <c r="E54" s="45"/>
      <c r="F54" s="63">
        <f t="shared" si="0"/>
        <v>0</v>
      </c>
      <c r="G54" s="67" t="str">
        <f t="shared" si="2"/>
        <v>NoFactible</v>
      </c>
      <c r="H54" s="65">
        <f t="shared" si="1"/>
        <v>1</v>
      </c>
      <c r="I54" s="103"/>
      <c r="J54" s="104"/>
      <c r="AB54" s="19" t="s">
        <v>52</v>
      </c>
    </row>
    <row r="55" spans="1:28" ht="15" x14ac:dyDescent="0.2">
      <c r="A55" s="44"/>
      <c r="B55" s="2" t="s">
        <v>20</v>
      </c>
      <c r="C55" s="45"/>
      <c r="D55" s="45"/>
      <c r="E55" s="45"/>
      <c r="F55" s="63">
        <f t="shared" si="0"/>
        <v>0</v>
      </c>
      <c r="G55" s="67" t="str">
        <f t="shared" si="2"/>
        <v>NoFactible</v>
      </c>
      <c r="H55" s="65">
        <f t="shared" si="1"/>
        <v>1</v>
      </c>
      <c r="I55" s="103"/>
      <c r="J55" s="104"/>
    </row>
    <row r="56" spans="1:28" ht="15" x14ac:dyDescent="0.2">
      <c r="A56" s="44"/>
      <c r="B56" s="2" t="s">
        <v>21</v>
      </c>
      <c r="C56" s="45"/>
      <c r="D56" s="45"/>
      <c r="E56" s="45"/>
      <c r="F56" s="63">
        <f t="shared" si="0"/>
        <v>0</v>
      </c>
      <c r="G56" s="67" t="str">
        <f t="shared" si="2"/>
        <v>NoFactible</v>
      </c>
      <c r="H56" s="65">
        <f t="shared" si="1"/>
        <v>1</v>
      </c>
      <c r="I56" s="103"/>
      <c r="J56" s="104"/>
    </row>
    <row r="57" spans="1:28" ht="16.5" customHeight="1" x14ac:dyDescent="0.2">
      <c r="A57" s="44"/>
      <c r="B57" s="3" t="s">
        <v>26</v>
      </c>
      <c r="C57" s="45"/>
      <c r="D57" s="45"/>
      <c r="E57" s="45"/>
      <c r="F57" s="63">
        <f t="shared" si="0"/>
        <v>0</v>
      </c>
      <c r="G57" s="67" t="str">
        <f t="shared" si="2"/>
        <v>NoFactible</v>
      </c>
      <c r="H57" s="65">
        <f t="shared" si="1"/>
        <v>1</v>
      </c>
      <c r="I57" s="103"/>
      <c r="J57" s="104"/>
    </row>
    <row r="58" spans="1:28" ht="15" x14ac:dyDescent="0.2">
      <c r="A58" s="44"/>
      <c r="B58" s="3" t="s">
        <v>22</v>
      </c>
      <c r="C58" s="45"/>
      <c r="D58" s="45"/>
      <c r="E58" s="45"/>
      <c r="F58" s="63">
        <f t="shared" si="0"/>
        <v>0</v>
      </c>
      <c r="G58" s="67" t="str">
        <f t="shared" si="2"/>
        <v>NoFactible</v>
      </c>
      <c r="H58" s="65">
        <f t="shared" si="1"/>
        <v>1</v>
      </c>
      <c r="I58" s="103"/>
      <c r="J58" s="104"/>
    </row>
    <row r="59" spans="1:28" ht="15" x14ac:dyDescent="0.2">
      <c r="A59" s="44"/>
      <c r="B59" s="2" t="s">
        <v>23</v>
      </c>
      <c r="C59" s="45"/>
      <c r="D59" s="45"/>
      <c r="E59" s="45"/>
      <c r="F59" s="63">
        <f t="shared" si="0"/>
        <v>0</v>
      </c>
      <c r="G59" s="67" t="str">
        <f t="shared" si="2"/>
        <v>NoFactible</v>
      </c>
      <c r="H59" s="65">
        <f t="shared" si="1"/>
        <v>1</v>
      </c>
      <c r="I59" s="103"/>
      <c r="J59" s="104"/>
    </row>
    <row r="60" spans="1:28" ht="15" x14ac:dyDescent="0.2">
      <c r="A60" s="44"/>
      <c r="B60" s="3" t="s">
        <v>27</v>
      </c>
      <c r="C60" s="45"/>
      <c r="D60" s="45"/>
      <c r="E60" s="45"/>
      <c r="F60" s="63">
        <f t="shared" si="0"/>
        <v>0</v>
      </c>
      <c r="G60" s="67" t="str">
        <f t="shared" si="2"/>
        <v>NoFactible</v>
      </c>
      <c r="H60" s="65">
        <f t="shared" si="1"/>
        <v>1</v>
      </c>
      <c r="I60" s="103"/>
      <c r="J60" s="104"/>
    </row>
    <row r="61" spans="1:28" ht="15" x14ac:dyDescent="0.2">
      <c r="A61" s="44"/>
      <c r="B61" s="3" t="s">
        <v>28</v>
      </c>
      <c r="C61" s="45"/>
      <c r="D61" s="45"/>
      <c r="E61" s="45"/>
      <c r="F61" s="63">
        <f t="shared" si="0"/>
        <v>0</v>
      </c>
      <c r="G61" s="67" t="str">
        <f t="shared" si="2"/>
        <v>NoFactible</v>
      </c>
      <c r="H61" s="65">
        <f t="shared" si="1"/>
        <v>1</v>
      </c>
      <c r="I61" s="103"/>
      <c r="J61" s="104"/>
    </row>
    <row r="62" spans="1:28" ht="15" x14ac:dyDescent="0.2">
      <c r="A62" s="44"/>
      <c r="B62" s="2" t="s">
        <v>24</v>
      </c>
      <c r="C62" s="45"/>
      <c r="D62" s="45"/>
      <c r="E62" s="45"/>
      <c r="F62" s="63">
        <f t="shared" si="0"/>
        <v>0</v>
      </c>
      <c r="G62" s="67" t="str">
        <f t="shared" si="2"/>
        <v>NoFactible</v>
      </c>
      <c r="H62" s="65">
        <f t="shared" si="1"/>
        <v>1</v>
      </c>
      <c r="I62" s="103"/>
      <c r="J62" s="104"/>
    </row>
    <row r="63" spans="1:28" ht="15" x14ac:dyDescent="0.2">
      <c r="A63" s="44"/>
      <c r="B63" s="2" t="s">
        <v>25</v>
      </c>
      <c r="C63" s="45"/>
      <c r="D63" s="45"/>
      <c r="E63" s="45"/>
      <c r="F63" s="63">
        <f t="shared" si="0"/>
        <v>0</v>
      </c>
      <c r="G63" s="67" t="str">
        <f t="shared" si="2"/>
        <v>NoFactible</v>
      </c>
      <c r="H63" s="65">
        <f t="shared" si="1"/>
        <v>1</v>
      </c>
      <c r="I63" s="103"/>
      <c r="J63" s="104"/>
    </row>
    <row r="64" spans="1:28" ht="15" x14ac:dyDescent="0.2">
      <c r="A64" s="44"/>
      <c r="B64" s="2" t="s">
        <v>75</v>
      </c>
      <c r="C64" s="45"/>
      <c r="D64" s="45"/>
      <c r="E64" s="45"/>
      <c r="F64" s="63">
        <f t="shared" si="0"/>
        <v>0</v>
      </c>
      <c r="G64" s="67" t="str">
        <f t="shared" si="2"/>
        <v>NoFactible</v>
      </c>
      <c r="H64" s="65">
        <f t="shared" si="1"/>
        <v>1</v>
      </c>
      <c r="I64" s="103"/>
      <c r="J64" s="104"/>
    </row>
    <row r="65" spans="1:35" ht="15" x14ac:dyDescent="0.2">
      <c r="A65" s="44"/>
      <c r="B65" s="2" t="s">
        <v>32</v>
      </c>
      <c r="C65" s="45"/>
      <c r="D65" s="45"/>
      <c r="E65" s="45"/>
      <c r="F65" s="63">
        <f t="shared" si="0"/>
        <v>0</v>
      </c>
      <c r="G65" s="67" t="str">
        <f t="shared" si="2"/>
        <v>NoFactible</v>
      </c>
      <c r="H65" s="65">
        <f t="shared" si="1"/>
        <v>1</v>
      </c>
      <c r="I65" s="103"/>
      <c r="J65" s="104"/>
    </row>
    <row r="66" spans="1:35" ht="15" x14ac:dyDescent="0.2">
      <c r="A66" s="44"/>
      <c r="B66" s="2" t="s">
        <v>35</v>
      </c>
      <c r="C66" s="45"/>
      <c r="D66" s="45"/>
      <c r="E66" s="45"/>
      <c r="F66" s="63">
        <f t="shared" si="0"/>
        <v>0</v>
      </c>
      <c r="G66" s="67" t="str">
        <f t="shared" si="2"/>
        <v>NoFactible</v>
      </c>
      <c r="H66" s="65">
        <f t="shared" si="1"/>
        <v>1</v>
      </c>
      <c r="I66" s="103"/>
      <c r="J66" s="104"/>
    </row>
    <row r="67" spans="1:35" ht="15" x14ac:dyDescent="0.2">
      <c r="A67" s="44"/>
      <c r="B67" s="2" t="s">
        <v>35</v>
      </c>
      <c r="C67" s="45"/>
      <c r="D67" s="45"/>
      <c r="E67" s="45"/>
      <c r="F67" s="63">
        <f t="shared" si="0"/>
        <v>0</v>
      </c>
      <c r="G67" s="67" t="str">
        <f t="shared" si="2"/>
        <v>NoFactible</v>
      </c>
      <c r="H67" s="65">
        <f t="shared" si="1"/>
        <v>1</v>
      </c>
      <c r="I67" s="103"/>
      <c r="J67" s="104"/>
    </row>
    <row r="68" spans="1:35" ht="15.75" thickBot="1" x14ac:dyDescent="0.25">
      <c r="A68" s="47"/>
      <c r="B68" s="4" t="s">
        <v>35</v>
      </c>
      <c r="C68" s="48"/>
      <c r="D68" s="48"/>
      <c r="E68" s="48"/>
      <c r="F68" s="64">
        <f t="shared" si="0"/>
        <v>0</v>
      </c>
      <c r="G68" s="68" t="str">
        <f t="shared" si="2"/>
        <v>NoFactible</v>
      </c>
      <c r="H68" s="65">
        <f t="shared" si="1"/>
        <v>1</v>
      </c>
      <c r="I68" s="121"/>
      <c r="J68" s="122"/>
    </row>
    <row r="69" spans="1:35" ht="16.5" thickTop="1" thickBot="1" x14ac:dyDescent="0.25">
      <c r="A69" s="90" t="s">
        <v>48</v>
      </c>
      <c r="B69" s="90"/>
      <c r="C69" s="90"/>
      <c r="D69" s="90"/>
      <c r="E69" s="90"/>
      <c r="F69" s="90"/>
      <c r="G69" s="90"/>
      <c r="H69" s="90"/>
      <c r="I69" s="90"/>
      <c r="J69" s="90"/>
    </row>
    <row r="70" spans="1:35" ht="16.5" thickTop="1" thickBot="1" x14ac:dyDescent="0.25">
      <c r="A70" s="91" t="s">
        <v>83</v>
      </c>
      <c r="B70" s="92"/>
      <c r="C70" s="92"/>
      <c r="D70" s="92"/>
      <c r="E70" s="92"/>
      <c r="F70" s="92"/>
      <c r="G70" s="92"/>
      <c r="H70" s="92"/>
      <c r="I70" s="92"/>
      <c r="J70" s="93"/>
    </row>
    <row r="71" spans="1:35" ht="33" customHeight="1" thickTop="1" x14ac:dyDescent="0.2">
      <c r="A71" s="55">
        <v>1</v>
      </c>
      <c r="B71" s="113" t="s">
        <v>76</v>
      </c>
      <c r="C71" s="114"/>
      <c r="D71" s="115"/>
      <c r="E71" s="116"/>
      <c r="F71" s="116"/>
      <c r="G71" s="116"/>
      <c r="H71" s="142" t="s">
        <v>0</v>
      </c>
      <c r="I71" s="142"/>
      <c r="J71" s="56" t="s">
        <v>56</v>
      </c>
      <c r="Z71" s="49"/>
      <c r="AA71" s="141"/>
      <c r="AB71" s="141"/>
      <c r="AC71" s="141"/>
      <c r="AD71" s="141"/>
      <c r="AE71" s="140"/>
      <c r="AF71" s="140"/>
      <c r="AG71" s="140"/>
      <c r="AH71" s="140"/>
      <c r="AI71" s="140"/>
    </row>
    <row r="72" spans="1:35" x14ac:dyDescent="0.2">
      <c r="A72" s="75" t="s">
        <v>49</v>
      </c>
      <c r="B72" s="74"/>
      <c r="C72" s="74"/>
      <c r="D72" s="74"/>
      <c r="E72" s="74" t="s">
        <v>72</v>
      </c>
      <c r="F72" s="74"/>
      <c r="G72" s="74"/>
      <c r="H72" s="74"/>
      <c r="I72" s="74"/>
      <c r="J72" s="76"/>
      <c r="Z72" s="140"/>
      <c r="AA72" s="140"/>
      <c r="AB72" s="140"/>
      <c r="AC72" s="140"/>
      <c r="AD72" s="140"/>
      <c r="AE72" s="140"/>
      <c r="AF72" s="140"/>
      <c r="AG72" s="140"/>
      <c r="AH72" s="140"/>
      <c r="AI72" s="140"/>
    </row>
    <row r="73" spans="1:35" ht="29.25" customHeight="1" x14ac:dyDescent="0.2">
      <c r="A73" s="95"/>
      <c r="B73" s="96"/>
      <c r="C73" s="96"/>
      <c r="D73" s="97"/>
      <c r="E73" s="98"/>
      <c r="F73" s="96"/>
      <c r="G73" s="96"/>
      <c r="H73" s="96"/>
      <c r="I73" s="96"/>
      <c r="J73" s="99"/>
      <c r="Z73" s="138"/>
      <c r="AA73" s="138"/>
      <c r="AB73" s="138"/>
      <c r="AC73" s="138"/>
      <c r="AD73" s="138"/>
      <c r="AE73" s="138"/>
      <c r="AF73" s="138"/>
      <c r="AG73" s="138"/>
      <c r="AH73" s="138"/>
      <c r="AI73" s="138"/>
    </row>
    <row r="74" spans="1:35" ht="23.25" x14ac:dyDescent="0.2">
      <c r="A74" s="57">
        <v>2</v>
      </c>
      <c r="B74" s="100" t="s">
        <v>77</v>
      </c>
      <c r="C74" s="101"/>
      <c r="D74" s="102"/>
      <c r="E74" s="80"/>
      <c r="F74" s="80"/>
      <c r="G74" s="80"/>
      <c r="H74" s="74" t="s">
        <v>0</v>
      </c>
      <c r="I74" s="74"/>
      <c r="J74" s="58" t="s">
        <v>56</v>
      </c>
      <c r="Z74" s="49"/>
      <c r="AA74" s="139"/>
      <c r="AB74" s="139"/>
      <c r="AC74" s="139"/>
      <c r="AD74" s="139"/>
      <c r="AE74" s="140"/>
      <c r="AF74" s="140"/>
      <c r="AG74" s="140"/>
      <c r="AH74" s="140"/>
      <c r="AI74" s="140"/>
    </row>
    <row r="75" spans="1:35" x14ac:dyDescent="0.2">
      <c r="A75" s="75" t="s">
        <v>49</v>
      </c>
      <c r="B75" s="74"/>
      <c r="C75" s="74"/>
      <c r="D75" s="74"/>
      <c r="E75" s="74" t="s">
        <v>72</v>
      </c>
      <c r="F75" s="74"/>
      <c r="G75" s="74"/>
      <c r="H75" s="74"/>
      <c r="I75" s="74"/>
      <c r="J75" s="76"/>
      <c r="Z75" s="140"/>
      <c r="AA75" s="140"/>
      <c r="AB75" s="140"/>
      <c r="AC75" s="140"/>
      <c r="AD75" s="140"/>
      <c r="AE75" s="140"/>
      <c r="AF75" s="140"/>
      <c r="AG75" s="140"/>
      <c r="AH75" s="140"/>
      <c r="AI75" s="140"/>
    </row>
    <row r="76" spans="1:35" ht="30" customHeight="1" x14ac:dyDescent="0.2">
      <c r="A76" s="95"/>
      <c r="B76" s="96"/>
      <c r="C76" s="96"/>
      <c r="D76" s="97"/>
      <c r="E76" s="98"/>
      <c r="F76" s="96"/>
      <c r="G76" s="96"/>
      <c r="H76" s="96"/>
      <c r="I76" s="96"/>
      <c r="J76" s="99"/>
      <c r="Z76" s="138"/>
      <c r="AA76" s="138"/>
      <c r="AB76" s="138"/>
      <c r="AC76" s="138"/>
      <c r="AD76" s="138"/>
      <c r="AE76" s="138"/>
      <c r="AF76" s="138"/>
      <c r="AG76" s="138"/>
      <c r="AH76" s="138"/>
      <c r="AI76" s="138"/>
    </row>
    <row r="77" spans="1:35" ht="23.25" x14ac:dyDescent="0.35">
      <c r="A77" s="59">
        <v>3</v>
      </c>
      <c r="B77" s="77" t="s">
        <v>78</v>
      </c>
      <c r="C77" s="78"/>
      <c r="D77" s="79"/>
      <c r="E77" s="80"/>
      <c r="F77" s="80"/>
      <c r="G77" s="80"/>
      <c r="H77" s="74" t="s">
        <v>0</v>
      </c>
      <c r="I77" s="74"/>
      <c r="J77" s="58" t="s">
        <v>56</v>
      </c>
      <c r="Z77" s="49"/>
      <c r="AA77" s="139"/>
      <c r="AB77" s="139"/>
      <c r="AC77" s="139"/>
      <c r="AD77" s="139"/>
      <c r="AE77" s="140"/>
      <c r="AF77" s="140"/>
      <c r="AG77" s="140"/>
      <c r="AH77" s="140"/>
      <c r="AI77" s="140"/>
    </row>
    <row r="78" spans="1:35" x14ac:dyDescent="0.2">
      <c r="A78" s="75" t="s">
        <v>49</v>
      </c>
      <c r="B78" s="74"/>
      <c r="C78" s="74"/>
      <c r="D78" s="74"/>
      <c r="E78" s="74" t="s">
        <v>72</v>
      </c>
      <c r="F78" s="74"/>
      <c r="G78" s="74"/>
      <c r="H78" s="74"/>
      <c r="I78" s="74"/>
      <c r="J78" s="76"/>
      <c r="Z78" s="140"/>
      <c r="AA78" s="140"/>
      <c r="AB78" s="140"/>
      <c r="AC78" s="140"/>
      <c r="AD78" s="140"/>
      <c r="AE78" s="140"/>
      <c r="AF78" s="140"/>
      <c r="AG78" s="140"/>
      <c r="AH78" s="140"/>
      <c r="AI78" s="140"/>
    </row>
    <row r="79" spans="1:35" ht="29.25" customHeight="1" thickBot="1" x14ac:dyDescent="0.25">
      <c r="A79" s="69"/>
      <c r="B79" s="70"/>
      <c r="C79" s="70"/>
      <c r="D79" s="71"/>
      <c r="E79" s="72"/>
      <c r="F79" s="70"/>
      <c r="G79" s="70"/>
      <c r="H79" s="70"/>
      <c r="I79" s="70"/>
      <c r="J79" s="73"/>
      <c r="Z79" s="138"/>
      <c r="AA79" s="138"/>
      <c r="AB79" s="138"/>
      <c r="AC79" s="138"/>
      <c r="AD79" s="138"/>
      <c r="AE79" s="138"/>
      <c r="AF79" s="138"/>
      <c r="AG79" s="138"/>
      <c r="AH79" s="138"/>
      <c r="AI79" s="138"/>
    </row>
    <row r="80" spans="1:35" ht="15.75" customHeight="1" thickTop="1" thickBot="1" x14ac:dyDescent="0.25">
      <c r="A80" s="90" t="s">
        <v>2</v>
      </c>
      <c r="B80" s="90"/>
      <c r="C80" s="90"/>
      <c r="D80" s="90"/>
      <c r="E80" s="90"/>
      <c r="F80" s="90"/>
      <c r="G80" s="90"/>
      <c r="H80" s="90"/>
      <c r="I80" s="90"/>
      <c r="J80" s="90"/>
    </row>
    <row r="81" spans="1:10" ht="15.75" customHeight="1" thickTop="1" thickBot="1" x14ac:dyDescent="0.25">
      <c r="A81" s="91" t="s">
        <v>83</v>
      </c>
      <c r="B81" s="92"/>
      <c r="C81" s="92"/>
      <c r="D81" s="92"/>
      <c r="E81" s="92"/>
      <c r="F81" s="92"/>
      <c r="G81" s="92"/>
      <c r="H81" s="92"/>
      <c r="I81" s="92"/>
      <c r="J81" s="93"/>
    </row>
    <row r="82" spans="1:10" ht="24" thickTop="1" x14ac:dyDescent="0.2">
      <c r="A82" s="60">
        <v>1</v>
      </c>
      <c r="B82" s="87" t="s">
        <v>79</v>
      </c>
      <c r="C82" s="87"/>
      <c r="D82" s="87"/>
      <c r="E82" s="88"/>
      <c r="F82" s="88"/>
      <c r="G82" s="88"/>
      <c r="H82" s="89" t="s">
        <v>0</v>
      </c>
      <c r="I82" s="89"/>
      <c r="J82" s="61" t="s">
        <v>56</v>
      </c>
    </row>
    <row r="83" spans="1:10" x14ac:dyDescent="0.2">
      <c r="A83" s="75" t="s">
        <v>49</v>
      </c>
      <c r="B83" s="74"/>
      <c r="C83" s="74"/>
      <c r="D83" s="74"/>
      <c r="E83" s="74" t="s">
        <v>72</v>
      </c>
      <c r="F83" s="74"/>
      <c r="G83" s="74"/>
      <c r="H83" s="74"/>
      <c r="I83" s="74"/>
      <c r="J83" s="76"/>
    </row>
    <row r="84" spans="1:10" ht="26.25" customHeight="1" x14ac:dyDescent="0.2">
      <c r="A84" s="105"/>
      <c r="B84" s="106"/>
      <c r="C84" s="106"/>
      <c r="D84" s="106"/>
      <c r="E84" s="106"/>
      <c r="F84" s="106"/>
      <c r="G84" s="106"/>
      <c r="H84" s="106"/>
      <c r="I84" s="106"/>
      <c r="J84" s="107"/>
    </row>
    <row r="85" spans="1:10" ht="23.25" x14ac:dyDescent="0.2">
      <c r="A85" s="57">
        <v>2</v>
      </c>
      <c r="B85" s="109" t="s">
        <v>80</v>
      </c>
      <c r="C85" s="109"/>
      <c r="D85" s="109"/>
      <c r="E85" s="80"/>
      <c r="F85" s="80"/>
      <c r="G85" s="80"/>
      <c r="H85" s="74" t="s">
        <v>0</v>
      </c>
      <c r="I85" s="74"/>
      <c r="J85" s="58" t="s">
        <v>56</v>
      </c>
    </row>
    <row r="86" spans="1:10" x14ac:dyDescent="0.2">
      <c r="A86" s="75" t="s">
        <v>49</v>
      </c>
      <c r="B86" s="74"/>
      <c r="C86" s="74"/>
      <c r="D86" s="74"/>
      <c r="E86" s="74" t="s">
        <v>72</v>
      </c>
      <c r="F86" s="74"/>
      <c r="G86" s="74"/>
      <c r="H86" s="74"/>
      <c r="I86" s="74"/>
      <c r="J86" s="76"/>
    </row>
    <row r="87" spans="1:10" ht="27" customHeight="1" x14ac:dyDescent="0.2">
      <c r="A87" s="105"/>
      <c r="B87" s="106"/>
      <c r="C87" s="106"/>
      <c r="D87" s="106"/>
      <c r="E87" s="106"/>
      <c r="F87" s="106"/>
      <c r="G87" s="106"/>
      <c r="H87" s="106"/>
      <c r="I87" s="106"/>
      <c r="J87" s="107"/>
    </row>
    <row r="88" spans="1:10" ht="23.25" x14ac:dyDescent="0.35">
      <c r="A88" s="59">
        <v>3</v>
      </c>
      <c r="B88" s="108" t="s">
        <v>81</v>
      </c>
      <c r="C88" s="108"/>
      <c r="D88" s="108"/>
      <c r="E88" s="80"/>
      <c r="F88" s="80"/>
      <c r="G88" s="80"/>
      <c r="H88" s="74" t="s">
        <v>0</v>
      </c>
      <c r="I88" s="74"/>
      <c r="J88" s="58" t="s">
        <v>56</v>
      </c>
    </row>
    <row r="89" spans="1:10" x14ac:dyDescent="0.2">
      <c r="A89" s="75" t="s">
        <v>49</v>
      </c>
      <c r="B89" s="74"/>
      <c r="C89" s="74"/>
      <c r="D89" s="74"/>
      <c r="E89" s="74" t="s">
        <v>72</v>
      </c>
      <c r="F89" s="74"/>
      <c r="G89" s="74"/>
      <c r="H89" s="74"/>
      <c r="I89" s="74"/>
      <c r="J89" s="76"/>
    </row>
    <row r="90" spans="1:10" ht="30.75" customHeight="1" x14ac:dyDescent="0.2">
      <c r="A90" s="105"/>
      <c r="B90" s="106"/>
      <c r="C90" s="106"/>
      <c r="D90" s="106"/>
      <c r="E90" s="106"/>
      <c r="F90" s="106"/>
      <c r="G90" s="106"/>
      <c r="H90" s="106"/>
      <c r="I90" s="106"/>
      <c r="J90" s="107"/>
    </row>
    <row r="91" spans="1:10" ht="23.25" x14ac:dyDescent="0.2">
      <c r="A91" s="57">
        <v>2</v>
      </c>
      <c r="B91" s="108" t="s">
        <v>53</v>
      </c>
      <c r="C91" s="108"/>
      <c r="D91" s="108"/>
      <c r="E91" s="80"/>
      <c r="F91" s="80"/>
      <c r="G91" s="80"/>
      <c r="H91" s="74" t="s">
        <v>0</v>
      </c>
      <c r="I91" s="74"/>
      <c r="J91" s="58" t="s">
        <v>56</v>
      </c>
    </row>
    <row r="92" spans="1:10" x14ac:dyDescent="0.2">
      <c r="A92" s="75" t="s">
        <v>49</v>
      </c>
      <c r="B92" s="74"/>
      <c r="C92" s="74"/>
      <c r="D92" s="74"/>
      <c r="E92" s="74" t="s">
        <v>72</v>
      </c>
      <c r="F92" s="74"/>
      <c r="G92" s="74"/>
      <c r="H92" s="74"/>
      <c r="I92" s="74"/>
      <c r="J92" s="76"/>
    </row>
    <row r="93" spans="1:10" ht="30" customHeight="1" thickBot="1" x14ac:dyDescent="0.25">
      <c r="A93" s="110"/>
      <c r="B93" s="111"/>
      <c r="C93" s="111"/>
      <c r="D93" s="111"/>
      <c r="E93" s="111"/>
      <c r="F93" s="111"/>
      <c r="G93" s="111"/>
      <c r="H93" s="111"/>
      <c r="I93" s="111"/>
      <c r="J93" s="112"/>
    </row>
    <row r="94" spans="1:10" ht="23.25" customHeight="1" thickTop="1" x14ac:dyDescent="0.2">
      <c r="A94" s="50"/>
      <c r="B94" s="50"/>
      <c r="C94" s="50"/>
      <c r="D94" s="50"/>
      <c r="E94" s="50"/>
      <c r="F94" s="50"/>
      <c r="G94" s="50"/>
      <c r="H94" s="50"/>
      <c r="I94" s="50"/>
      <c r="J94" s="50"/>
    </row>
    <row r="95" spans="1:10" x14ac:dyDescent="0.2">
      <c r="A95" s="50"/>
      <c r="B95" s="50"/>
      <c r="C95" s="50"/>
      <c r="D95" s="50"/>
      <c r="E95" s="50"/>
      <c r="F95" s="50"/>
      <c r="G95" s="50"/>
      <c r="H95" s="50"/>
      <c r="I95" s="50"/>
      <c r="J95" s="50"/>
    </row>
    <row r="96" spans="1:10" x14ac:dyDescent="0.2">
      <c r="A96" s="50"/>
      <c r="B96" s="50"/>
      <c r="C96" s="50"/>
      <c r="D96" s="50"/>
      <c r="E96" s="50"/>
      <c r="F96" s="50"/>
      <c r="G96" s="50"/>
      <c r="H96" s="50"/>
      <c r="I96" s="50"/>
      <c r="J96" s="50"/>
    </row>
    <row r="97" spans="1:10" x14ac:dyDescent="0.2">
      <c r="A97" s="50"/>
      <c r="B97" s="50"/>
      <c r="C97" s="50"/>
      <c r="D97" s="50"/>
      <c r="E97" s="50"/>
      <c r="F97" s="50"/>
      <c r="G97" s="50"/>
      <c r="H97" s="50"/>
      <c r="I97" s="50"/>
      <c r="J97" s="50"/>
    </row>
  </sheetData>
  <mergeCells count="181">
    <mergeCell ref="I52:J52"/>
    <mergeCell ref="I53:J53"/>
    <mergeCell ref="I54:J54"/>
    <mergeCell ref="I55:J55"/>
    <mergeCell ref="I56:J56"/>
    <mergeCell ref="I57:J57"/>
    <mergeCell ref="I1:J1"/>
    <mergeCell ref="I2:J2"/>
    <mergeCell ref="E25:J25"/>
    <mergeCell ref="E28:J28"/>
    <mergeCell ref="E31:J31"/>
    <mergeCell ref="E40:J40"/>
    <mergeCell ref="E23:J23"/>
    <mergeCell ref="E24:G24"/>
    <mergeCell ref="H24:I24"/>
    <mergeCell ref="A43:J44"/>
    <mergeCell ref="F5:J5"/>
    <mergeCell ref="D6:E6"/>
    <mergeCell ref="B5:C5"/>
    <mergeCell ref="B6:C6"/>
    <mergeCell ref="F6:J6"/>
    <mergeCell ref="A3:J3"/>
    <mergeCell ref="B4:C4"/>
    <mergeCell ref="D4:E4"/>
    <mergeCell ref="F4:J4"/>
    <mergeCell ref="A1:A2"/>
    <mergeCell ref="A22:D22"/>
    <mergeCell ref="D8:J15"/>
    <mergeCell ref="A10:C10"/>
    <mergeCell ref="A11:C15"/>
    <mergeCell ref="A16:J16"/>
    <mergeCell ref="B8:B9"/>
    <mergeCell ref="A8:A9"/>
    <mergeCell ref="C8:C9"/>
    <mergeCell ref="D7:J7"/>
    <mergeCell ref="H18:I18"/>
    <mergeCell ref="A19:D19"/>
    <mergeCell ref="A20:D20"/>
    <mergeCell ref="E19:J19"/>
    <mergeCell ref="E20:J20"/>
    <mergeCell ref="B21:D21"/>
    <mergeCell ref="B18:D18"/>
    <mergeCell ref="E18:G18"/>
    <mergeCell ref="E22:J22"/>
    <mergeCell ref="E21:G21"/>
    <mergeCell ref="H21:I21"/>
    <mergeCell ref="A17:J17"/>
    <mergeCell ref="D5:E5"/>
    <mergeCell ref="I66:J66"/>
    <mergeCell ref="I67:J67"/>
    <mergeCell ref="I58:J58"/>
    <mergeCell ref="I59:J59"/>
    <mergeCell ref="I60:J60"/>
    <mergeCell ref="Z79:AD79"/>
    <mergeCell ref="AE79:AI79"/>
    <mergeCell ref="AA74:AD74"/>
    <mergeCell ref="AE74:AI74"/>
    <mergeCell ref="Z75:AD75"/>
    <mergeCell ref="AE75:AI75"/>
    <mergeCell ref="Z76:AD76"/>
    <mergeCell ref="AE76:AI76"/>
    <mergeCell ref="AA71:AD71"/>
    <mergeCell ref="AE71:AI71"/>
    <mergeCell ref="AE73:AI73"/>
    <mergeCell ref="AE72:AI72"/>
    <mergeCell ref="Z72:AD72"/>
    <mergeCell ref="Z73:AD73"/>
    <mergeCell ref="AA77:AD77"/>
    <mergeCell ref="AE77:AI77"/>
    <mergeCell ref="Z78:AD78"/>
    <mergeCell ref="AE78:AI78"/>
    <mergeCell ref="H71:I71"/>
    <mergeCell ref="B24:D24"/>
    <mergeCell ref="B27:D27"/>
    <mergeCell ref="B30:D30"/>
    <mergeCell ref="I49:J49"/>
    <mergeCell ref="I50:J50"/>
    <mergeCell ref="Y48:Z48"/>
    <mergeCell ref="A69:J69"/>
    <mergeCell ref="B39:D39"/>
    <mergeCell ref="E32:J32"/>
    <mergeCell ref="E39:G39"/>
    <mergeCell ref="H39:I39"/>
    <mergeCell ref="E41:J41"/>
    <mergeCell ref="A41:D41"/>
    <mergeCell ref="A32:D32"/>
    <mergeCell ref="G48:H48"/>
    <mergeCell ref="I68:J68"/>
    <mergeCell ref="A45:A47"/>
    <mergeCell ref="E45:E47"/>
    <mergeCell ref="D45:D47"/>
    <mergeCell ref="I45:I47"/>
    <mergeCell ref="J45:J47"/>
    <mergeCell ref="I63:J63"/>
    <mergeCell ref="I64:J64"/>
    <mergeCell ref="E33:G33"/>
    <mergeCell ref="A72:D72"/>
    <mergeCell ref="E72:J72"/>
    <mergeCell ref="A73:D73"/>
    <mergeCell ref="E73:J73"/>
    <mergeCell ref="A29:D29"/>
    <mergeCell ref="A26:D26"/>
    <mergeCell ref="A23:D23"/>
    <mergeCell ref="B71:D71"/>
    <mergeCell ref="E71:G71"/>
    <mergeCell ref="E26:J26"/>
    <mergeCell ref="E27:G27"/>
    <mergeCell ref="H27:I27"/>
    <mergeCell ref="E29:J29"/>
    <mergeCell ref="E30:G30"/>
    <mergeCell ref="H30:I30"/>
    <mergeCell ref="A25:D25"/>
    <mergeCell ref="A28:D28"/>
    <mergeCell ref="A31:D31"/>
    <mergeCell ref="A40:D40"/>
    <mergeCell ref="A42:J42"/>
    <mergeCell ref="I61:J61"/>
    <mergeCell ref="I62:J62"/>
    <mergeCell ref="I51:J51"/>
    <mergeCell ref="B33:D33"/>
    <mergeCell ref="A92:D92"/>
    <mergeCell ref="E92:J92"/>
    <mergeCell ref="A93:D93"/>
    <mergeCell ref="E93:J93"/>
    <mergeCell ref="A89:D89"/>
    <mergeCell ref="E89:J89"/>
    <mergeCell ref="A90:D90"/>
    <mergeCell ref="E90:J90"/>
    <mergeCell ref="B91:D91"/>
    <mergeCell ref="E91:G91"/>
    <mergeCell ref="H91:I91"/>
    <mergeCell ref="A86:D86"/>
    <mergeCell ref="E86:J86"/>
    <mergeCell ref="A87:D87"/>
    <mergeCell ref="E87:J87"/>
    <mergeCell ref="B88:D88"/>
    <mergeCell ref="E88:G88"/>
    <mergeCell ref="H88:I88"/>
    <mergeCell ref="A83:D83"/>
    <mergeCell ref="E83:J83"/>
    <mergeCell ref="A84:D84"/>
    <mergeCell ref="E84:J84"/>
    <mergeCell ref="B85:D85"/>
    <mergeCell ref="E85:G85"/>
    <mergeCell ref="H85:I85"/>
    <mergeCell ref="B1:H1"/>
    <mergeCell ref="B2:H2"/>
    <mergeCell ref="A78:D78"/>
    <mergeCell ref="E78:J78"/>
    <mergeCell ref="A79:D79"/>
    <mergeCell ref="E79:J79"/>
    <mergeCell ref="B82:D82"/>
    <mergeCell ref="E82:G82"/>
    <mergeCell ref="H82:I82"/>
    <mergeCell ref="A80:J80"/>
    <mergeCell ref="A81:J81"/>
    <mergeCell ref="I48:J48"/>
    <mergeCell ref="A76:D76"/>
    <mergeCell ref="E76:J76"/>
    <mergeCell ref="B77:D77"/>
    <mergeCell ref="E77:G77"/>
    <mergeCell ref="H77:I77"/>
    <mergeCell ref="B74:D74"/>
    <mergeCell ref="E74:G74"/>
    <mergeCell ref="H74:I74"/>
    <mergeCell ref="A75:D75"/>
    <mergeCell ref="E75:J75"/>
    <mergeCell ref="A70:J70"/>
    <mergeCell ref="I65:J65"/>
    <mergeCell ref="A38:D38"/>
    <mergeCell ref="E38:J38"/>
    <mergeCell ref="H33:I33"/>
    <mergeCell ref="A34:D34"/>
    <mergeCell ref="E34:J34"/>
    <mergeCell ref="A35:D35"/>
    <mergeCell ref="E35:J35"/>
    <mergeCell ref="B36:D36"/>
    <mergeCell ref="E36:G36"/>
    <mergeCell ref="H36:I36"/>
    <mergeCell ref="A37:D37"/>
    <mergeCell ref="E37:J37"/>
  </mergeCells>
  <conditionalFormatting sqref="A49:A68">
    <cfRule type="containsText" dxfId="5" priority="14" operator="containsText" text="x">
      <formula>NOT(ISERROR(SEARCH("x",A49)))</formula>
    </cfRule>
  </conditionalFormatting>
  <conditionalFormatting sqref="C49:E68">
    <cfRule type="cellIs" dxfId="4" priority="18" operator="equal">
      <formula>1</formula>
    </cfRule>
    <cfRule type="cellIs" dxfId="3" priority="19" operator="equal">
      <formula>2</formula>
    </cfRule>
  </conditionalFormatting>
  <conditionalFormatting sqref="G49:H68">
    <cfRule type="containsText" dxfId="2" priority="15" operator="containsText" text="PocoFactible">
      <formula>NOT(ISERROR(SEARCH("PocoFactible",G49)))</formula>
    </cfRule>
    <cfRule type="containsText" dxfId="1" priority="16" operator="containsText" text="NoFactible">
      <formula>NOT(ISERROR(SEARCH("NoFactible",G49)))</formula>
    </cfRule>
    <cfRule type="containsText" dxfId="0" priority="17" operator="containsText" text="Factible">
      <formula>NOT(ISERROR(SEARCH("Factible",G49)))</formula>
    </cfRule>
  </conditionalFormatting>
  <conditionalFormatting sqref="H45:H47">
    <cfRule type="iconSet" priority="1">
      <iconSet iconSet="3Symbols2" reverse="1">
        <cfvo type="percent" val="0"/>
        <cfvo type="percent" val="33"/>
        <cfvo type="percent" val="67"/>
      </iconSet>
    </cfRule>
  </conditionalFormatting>
  <conditionalFormatting sqref="H49:H68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I45:I47">
    <cfRule type="colorScale" priority="6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Y47">
    <cfRule type="iconSet" priority="3">
      <iconSet iconSet="3Symbols">
        <cfvo type="percent" val="0"/>
        <cfvo type="num" val="$Y$48"/>
        <cfvo type="num" val="&quot;1+$M$38&quot;"/>
      </iconSet>
    </cfRule>
  </conditionalFormatting>
  <dataValidations disablePrompts="1" count="1">
    <dataValidation type="list" allowBlank="1" showInputMessage="1" showErrorMessage="1" sqref="J21 J33 J88 J85 J82 J77 J74 J24 J71 J91 J39 J30 J27 J18 J36" xr:uid="{723B7CAC-34DD-4DB2-8CFE-00CA33B67C19}">
      <formula1>$AB$48:$AB$54</formula1>
    </dataValidation>
  </dataValidations>
  <printOptions horizontalCentered="1"/>
  <pageMargins left="0" right="0" top="0" bottom="0" header="0" footer="0"/>
  <pageSetup scale="40" orientation="portrait" r:id="rId1"/>
  <colBreaks count="1" manualBreakCount="1">
    <brk id="10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0</xdr:col>
                    <xdr:colOff>228600</xdr:colOff>
                    <xdr:row>10</xdr:row>
                    <xdr:rowOff>190500</xdr:rowOff>
                  </from>
                  <to>
                    <xdr:col>0</xdr:col>
                    <xdr:colOff>809625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0</xdr:col>
                    <xdr:colOff>219075</xdr:colOff>
                    <xdr:row>12</xdr:row>
                    <xdr:rowOff>123825</xdr:rowOff>
                  </from>
                  <to>
                    <xdr:col>0</xdr:col>
                    <xdr:colOff>1028700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1</xdr:col>
                    <xdr:colOff>342900</xdr:colOff>
                    <xdr:row>10</xdr:row>
                    <xdr:rowOff>180975</xdr:rowOff>
                  </from>
                  <to>
                    <xdr:col>1</xdr:col>
                    <xdr:colOff>1295400</xdr:colOff>
                    <xdr:row>12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1</xdr:col>
                    <xdr:colOff>333375</xdr:colOff>
                    <xdr:row>12</xdr:row>
                    <xdr:rowOff>142875</xdr:rowOff>
                  </from>
                  <to>
                    <xdr:col>1</xdr:col>
                    <xdr:colOff>1285875</xdr:colOff>
                    <xdr:row>13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8" name="Check Box 6">
              <controlPr defaultSize="0" autoFill="0" autoLine="0" autoPict="0">
                <anchor moveWithCells="1">
                  <from>
                    <xdr:col>4</xdr:col>
                    <xdr:colOff>180975</xdr:colOff>
                    <xdr:row>17</xdr:row>
                    <xdr:rowOff>9525</xdr:rowOff>
                  </from>
                  <to>
                    <xdr:col>4</xdr:col>
                    <xdr:colOff>581025</xdr:colOff>
                    <xdr:row>18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9" name="Check Box 7">
              <controlPr defaultSize="0" autoFill="0" autoLine="0" autoPict="0">
                <anchor moveWithCells="1">
                  <from>
                    <xdr:col>4</xdr:col>
                    <xdr:colOff>809625</xdr:colOff>
                    <xdr:row>17</xdr:row>
                    <xdr:rowOff>28575</xdr:rowOff>
                  </from>
                  <to>
                    <xdr:col>5</xdr:col>
                    <xdr:colOff>266700</xdr:colOff>
                    <xdr:row>17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10" name="Check Box 18">
              <controlPr defaultSize="0" autoFill="0" autoLine="0" autoPict="0">
                <anchor moveWithCells="1">
                  <from>
                    <xdr:col>5</xdr:col>
                    <xdr:colOff>209550</xdr:colOff>
                    <xdr:row>17</xdr:row>
                    <xdr:rowOff>28575</xdr:rowOff>
                  </from>
                  <to>
                    <xdr:col>6</xdr:col>
                    <xdr:colOff>552450</xdr:colOff>
                    <xdr:row>17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11" name="Check Box 36">
              <controlPr defaultSize="0" autoFill="0" autoLine="0" autoPict="0">
                <anchor moveWithCells="1">
                  <from>
                    <xdr:col>30</xdr:col>
                    <xdr:colOff>123825</xdr:colOff>
                    <xdr:row>70</xdr:row>
                    <xdr:rowOff>9525</xdr:rowOff>
                  </from>
                  <to>
                    <xdr:col>30</xdr:col>
                    <xdr:colOff>523875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12" name="Check Box 37">
              <controlPr defaultSize="0" autoFill="0" autoLine="0" autoPict="0">
                <anchor moveWithCells="1">
                  <from>
                    <xdr:col>31</xdr:col>
                    <xdr:colOff>133350</xdr:colOff>
                    <xdr:row>70</xdr:row>
                    <xdr:rowOff>28575</xdr:rowOff>
                  </from>
                  <to>
                    <xdr:col>31</xdr:col>
                    <xdr:colOff>714375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0" r:id="rId13" name="Check Box 38">
              <controlPr defaultSize="0" autoFill="0" autoLine="0" autoPict="0">
                <anchor moveWithCells="1">
                  <from>
                    <xdr:col>33</xdr:col>
                    <xdr:colOff>133350</xdr:colOff>
                    <xdr:row>70</xdr:row>
                    <xdr:rowOff>38100</xdr:rowOff>
                  </from>
                  <to>
                    <xdr:col>34</xdr:col>
                    <xdr:colOff>628650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14" name="Check Box 39">
              <controlPr defaultSize="0" autoFill="0" autoLine="0" autoPict="0">
                <anchor moveWithCells="1">
                  <from>
                    <xdr:col>30</xdr:col>
                    <xdr:colOff>123825</xdr:colOff>
                    <xdr:row>73</xdr:row>
                    <xdr:rowOff>9525</xdr:rowOff>
                  </from>
                  <to>
                    <xdr:col>30</xdr:col>
                    <xdr:colOff>523875</xdr:colOff>
                    <xdr:row>73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r:id="rId15" name="Check Box 40">
              <controlPr defaultSize="0" autoFill="0" autoLine="0" autoPict="0">
                <anchor moveWithCells="1">
                  <from>
                    <xdr:col>31</xdr:col>
                    <xdr:colOff>133350</xdr:colOff>
                    <xdr:row>73</xdr:row>
                    <xdr:rowOff>28575</xdr:rowOff>
                  </from>
                  <to>
                    <xdr:col>31</xdr:col>
                    <xdr:colOff>714375</xdr:colOff>
                    <xdr:row>73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r:id="rId16" name="Check Box 41">
              <controlPr defaultSize="0" autoFill="0" autoLine="0" autoPict="0">
                <anchor moveWithCells="1">
                  <from>
                    <xdr:col>33</xdr:col>
                    <xdr:colOff>133350</xdr:colOff>
                    <xdr:row>73</xdr:row>
                    <xdr:rowOff>38100</xdr:rowOff>
                  </from>
                  <to>
                    <xdr:col>34</xdr:col>
                    <xdr:colOff>628650</xdr:colOff>
                    <xdr:row>73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r:id="rId17" name="Check Box 42">
              <controlPr defaultSize="0" autoFill="0" autoLine="0" autoPict="0">
                <anchor moveWithCells="1">
                  <from>
                    <xdr:col>30</xdr:col>
                    <xdr:colOff>123825</xdr:colOff>
                    <xdr:row>76</xdr:row>
                    <xdr:rowOff>9525</xdr:rowOff>
                  </from>
                  <to>
                    <xdr:col>30</xdr:col>
                    <xdr:colOff>523875</xdr:colOff>
                    <xdr:row>76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r:id="rId18" name="Check Box 43">
              <controlPr defaultSize="0" autoFill="0" autoLine="0" autoPict="0">
                <anchor moveWithCells="1">
                  <from>
                    <xdr:col>31</xdr:col>
                    <xdr:colOff>133350</xdr:colOff>
                    <xdr:row>76</xdr:row>
                    <xdr:rowOff>28575</xdr:rowOff>
                  </from>
                  <to>
                    <xdr:col>31</xdr:col>
                    <xdr:colOff>714375</xdr:colOff>
                    <xdr:row>76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6" r:id="rId19" name="Check Box 44">
              <controlPr defaultSize="0" autoFill="0" autoLine="0" autoPict="0">
                <anchor moveWithCells="1">
                  <from>
                    <xdr:col>33</xdr:col>
                    <xdr:colOff>133350</xdr:colOff>
                    <xdr:row>76</xdr:row>
                    <xdr:rowOff>38100</xdr:rowOff>
                  </from>
                  <to>
                    <xdr:col>34</xdr:col>
                    <xdr:colOff>628650</xdr:colOff>
                    <xdr:row>76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8" r:id="rId20" name="Check Box 46">
              <controlPr defaultSize="0" autoFill="0" autoLine="0" autoPict="0">
                <anchor moveWithCells="1">
                  <from>
                    <xdr:col>4</xdr:col>
                    <xdr:colOff>180975</xdr:colOff>
                    <xdr:row>20</xdr:row>
                    <xdr:rowOff>9525</xdr:rowOff>
                  </from>
                  <to>
                    <xdr:col>4</xdr:col>
                    <xdr:colOff>581025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r:id="rId21" name="Check Box 47">
              <controlPr defaultSize="0" autoFill="0" autoLine="0" autoPict="0">
                <anchor moveWithCells="1">
                  <from>
                    <xdr:col>4</xdr:col>
                    <xdr:colOff>809625</xdr:colOff>
                    <xdr:row>20</xdr:row>
                    <xdr:rowOff>28575</xdr:rowOff>
                  </from>
                  <to>
                    <xdr:col>5</xdr:col>
                    <xdr:colOff>266700</xdr:colOff>
                    <xdr:row>20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0" r:id="rId22" name="Check Box 48">
              <controlPr defaultSize="0" autoFill="0" autoLine="0" autoPict="0">
                <anchor moveWithCells="1">
                  <from>
                    <xdr:col>5</xdr:col>
                    <xdr:colOff>209550</xdr:colOff>
                    <xdr:row>20</xdr:row>
                    <xdr:rowOff>28575</xdr:rowOff>
                  </from>
                  <to>
                    <xdr:col>6</xdr:col>
                    <xdr:colOff>552450</xdr:colOff>
                    <xdr:row>20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1" r:id="rId23" name="Check Box 49">
              <controlPr defaultSize="0" autoFill="0" autoLine="0" autoPict="0">
                <anchor moveWithCells="1">
                  <from>
                    <xdr:col>4</xdr:col>
                    <xdr:colOff>180975</xdr:colOff>
                    <xdr:row>23</xdr:row>
                    <xdr:rowOff>9525</xdr:rowOff>
                  </from>
                  <to>
                    <xdr:col>4</xdr:col>
                    <xdr:colOff>581025</xdr:colOff>
                    <xdr:row>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2" r:id="rId24" name="Check Box 50">
              <controlPr defaultSize="0" autoFill="0" autoLine="0" autoPict="0">
                <anchor moveWithCells="1">
                  <from>
                    <xdr:col>4</xdr:col>
                    <xdr:colOff>809625</xdr:colOff>
                    <xdr:row>23</xdr:row>
                    <xdr:rowOff>28575</xdr:rowOff>
                  </from>
                  <to>
                    <xdr:col>5</xdr:col>
                    <xdr:colOff>266700</xdr:colOff>
                    <xdr:row>23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3" r:id="rId25" name="Check Box 51">
              <controlPr defaultSize="0" autoFill="0" autoLine="0" autoPict="0">
                <anchor moveWithCells="1">
                  <from>
                    <xdr:col>5</xdr:col>
                    <xdr:colOff>209550</xdr:colOff>
                    <xdr:row>23</xdr:row>
                    <xdr:rowOff>28575</xdr:rowOff>
                  </from>
                  <to>
                    <xdr:col>6</xdr:col>
                    <xdr:colOff>552450</xdr:colOff>
                    <xdr:row>23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r:id="rId26" name="Check Box 52">
              <controlPr defaultSize="0" autoFill="0" autoLine="0" autoPict="0">
                <anchor moveWithCells="1">
                  <from>
                    <xdr:col>4</xdr:col>
                    <xdr:colOff>180975</xdr:colOff>
                    <xdr:row>26</xdr:row>
                    <xdr:rowOff>9525</xdr:rowOff>
                  </from>
                  <to>
                    <xdr:col>4</xdr:col>
                    <xdr:colOff>581025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27" name="Check Box 53">
              <controlPr defaultSize="0" autoFill="0" autoLine="0" autoPict="0">
                <anchor moveWithCells="1">
                  <from>
                    <xdr:col>4</xdr:col>
                    <xdr:colOff>809625</xdr:colOff>
                    <xdr:row>26</xdr:row>
                    <xdr:rowOff>28575</xdr:rowOff>
                  </from>
                  <to>
                    <xdr:col>5</xdr:col>
                    <xdr:colOff>266700</xdr:colOff>
                    <xdr:row>26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28" name="Check Box 54">
              <controlPr defaultSize="0" autoFill="0" autoLine="0" autoPict="0">
                <anchor moveWithCells="1">
                  <from>
                    <xdr:col>5</xdr:col>
                    <xdr:colOff>209550</xdr:colOff>
                    <xdr:row>26</xdr:row>
                    <xdr:rowOff>28575</xdr:rowOff>
                  </from>
                  <to>
                    <xdr:col>6</xdr:col>
                    <xdr:colOff>552450</xdr:colOff>
                    <xdr:row>26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29" name="Check Box 55">
              <controlPr defaultSize="0" autoFill="0" autoLine="0" autoPict="0">
                <anchor moveWithCells="1">
                  <from>
                    <xdr:col>4</xdr:col>
                    <xdr:colOff>180975</xdr:colOff>
                    <xdr:row>29</xdr:row>
                    <xdr:rowOff>9525</xdr:rowOff>
                  </from>
                  <to>
                    <xdr:col>4</xdr:col>
                    <xdr:colOff>581025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30" name="Check Box 56">
              <controlPr defaultSize="0" autoFill="0" autoLine="0" autoPict="0">
                <anchor moveWithCells="1">
                  <from>
                    <xdr:col>4</xdr:col>
                    <xdr:colOff>809625</xdr:colOff>
                    <xdr:row>29</xdr:row>
                    <xdr:rowOff>28575</xdr:rowOff>
                  </from>
                  <to>
                    <xdr:col>5</xdr:col>
                    <xdr:colOff>266700</xdr:colOff>
                    <xdr:row>29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r:id="rId31" name="Check Box 57">
              <controlPr defaultSize="0" autoFill="0" autoLine="0" autoPict="0">
                <anchor moveWithCells="1">
                  <from>
                    <xdr:col>5</xdr:col>
                    <xdr:colOff>209550</xdr:colOff>
                    <xdr:row>29</xdr:row>
                    <xdr:rowOff>28575</xdr:rowOff>
                  </from>
                  <to>
                    <xdr:col>6</xdr:col>
                    <xdr:colOff>552450</xdr:colOff>
                    <xdr:row>29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r:id="rId32" name="Check Box 58">
              <controlPr defaultSize="0" autoFill="0" autoLine="0" autoPict="0">
                <anchor moveWithCells="1">
                  <from>
                    <xdr:col>4</xdr:col>
                    <xdr:colOff>180975</xdr:colOff>
                    <xdr:row>38</xdr:row>
                    <xdr:rowOff>9525</xdr:rowOff>
                  </from>
                  <to>
                    <xdr:col>4</xdr:col>
                    <xdr:colOff>581025</xdr:colOff>
                    <xdr:row>38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33" name="Check Box 59">
              <controlPr defaultSize="0" autoFill="0" autoLine="0" autoPict="0">
                <anchor moveWithCells="1">
                  <from>
                    <xdr:col>4</xdr:col>
                    <xdr:colOff>809625</xdr:colOff>
                    <xdr:row>38</xdr:row>
                    <xdr:rowOff>28575</xdr:rowOff>
                  </from>
                  <to>
                    <xdr:col>5</xdr:col>
                    <xdr:colOff>266700</xdr:colOff>
                    <xdr:row>38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34" name="Check Box 60">
              <controlPr defaultSize="0" autoFill="0" autoLine="0" autoPict="0">
                <anchor moveWithCells="1">
                  <from>
                    <xdr:col>5</xdr:col>
                    <xdr:colOff>209550</xdr:colOff>
                    <xdr:row>38</xdr:row>
                    <xdr:rowOff>28575</xdr:rowOff>
                  </from>
                  <to>
                    <xdr:col>6</xdr:col>
                    <xdr:colOff>552450</xdr:colOff>
                    <xdr:row>38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4" r:id="rId35" name="Check Box 62">
              <controlPr defaultSize="0" autoFill="0" autoLine="0" autoPict="0">
                <anchor moveWithCells="1">
                  <from>
                    <xdr:col>4</xdr:col>
                    <xdr:colOff>180975</xdr:colOff>
                    <xdr:row>70</xdr:row>
                    <xdr:rowOff>9525</xdr:rowOff>
                  </from>
                  <to>
                    <xdr:col>4</xdr:col>
                    <xdr:colOff>581025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36" name="Check Box 63">
              <controlPr defaultSize="0" autoFill="0" autoLine="0" autoPict="0">
                <anchor moveWithCells="1">
                  <from>
                    <xdr:col>4</xdr:col>
                    <xdr:colOff>809625</xdr:colOff>
                    <xdr:row>70</xdr:row>
                    <xdr:rowOff>28575</xdr:rowOff>
                  </from>
                  <to>
                    <xdr:col>5</xdr:col>
                    <xdr:colOff>266700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37" name="Check Box 64">
              <controlPr defaultSize="0" autoFill="0" autoLine="0" autoPict="0">
                <anchor moveWithCells="1">
                  <from>
                    <xdr:col>5</xdr:col>
                    <xdr:colOff>209550</xdr:colOff>
                    <xdr:row>70</xdr:row>
                    <xdr:rowOff>28575</xdr:rowOff>
                  </from>
                  <to>
                    <xdr:col>6</xdr:col>
                    <xdr:colOff>552450</xdr:colOff>
                    <xdr:row>71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7" r:id="rId38" name="Check Box 65">
              <controlPr defaultSize="0" autoFill="0" autoLine="0" autoPict="0">
                <anchor moveWithCells="1">
                  <from>
                    <xdr:col>4</xdr:col>
                    <xdr:colOff>180975</xdr:colOff>
                    <xdr:row>73</xdr:row>
                    <xdr:rowOff>9525</xdr:rowOff>
                  </from>
                  <to>
                    <xdr:col>4</xdr:col>
                    <xdr:colOff>581025</xdr:colOff>
                    <xdr:row>73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r:id="rId39" name="Check Box 66">
              <controlPr defaultSize="0" autoFill="0" autoLine="0" autoPict="0">
                <anchor moveWithCells="1">
                  <from>
                    <xdr:col>4</xdr:col>
                    <xdr:colOff>809625</xdr:colOff>
                    <xdr:row>73</xdr:row>
                    <xdr:rowOff>28575</xdr:rowOff>
                  </from>
                  <to>
                    <xdr:col>5</xdr:col>
                    <xdr:colOff>266700</xdr:colOff>
                    <xdr:row>73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9" r:id="rId40" name="Check Box 67">
              <controlPr defaultSize="0" autoFill="0" autoLine="0" autoPict="0">
                <anchor moveWithCells="1">
                  <from>
                    <xdr:col>5</xdr:col>
                    <xdr:colOff>209550</xdr:colOff>
                    <xdr:row>73</xdr:row>
                    <xdr:rowOff>28575</xdr:rowOff>
                  </from>
                  <to>
                    <xdr:col>6</xdr:col>
                    <xdr:colOff>552450</xdr:colOff>
                    <xdr:row>73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0" r:id="rId41" name="Check Box 68">
              <controlPr defaultSize="0" autoFill="0" autoLine="0" autoPict="0">
                <anchor moveWithCells="1">
                  <from>
                    <xdr:col>4</xdr:col>
                    <xdr:colOff>180975</xdr:colOff>
                    <xdr:row>76</xdr:row>
                    <xdr:rowOff>9525</xdr:rowOff>
                  </from>
                  <to>
                    <xdr:col>4</xdr:col>
                    <xdr:colOff>581025</xdr:colOff>
                    <xdr:row>76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1" r:id="rId42" name="Check Box 69">
              <controlPr defaultSize="0" autoFill="0" autoLine="0" autoPict="0">
                <anchor moveWithCells="1">
                  <from>
                    <xdr:col>4</xdr:col>
                    <xdr:colOff>809625</xdr:colOff>
                    <xdr:row>76</xdr:row>
                    <xdr:rowOff>28575</xdr:rowOff>
                  </from>
                  <to>
                    <xdr:col>5</xdr:col>
                    <xdr:colOff>266700</xdr:colOff>
                    <xdr:row>76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2" r:id="rId43" name="Check Box 70">
              <controlPr defaultSize="0" autoFill="0" autoLine="0" autoPict="0">
                <anchor moveWithCells="1">
                  <from>
                    <xdr:col>5</xdr:col>
                    <xdr:colOff>209550</xdr:colOff>
                    <xdr:row>76</xdr:row>
                    <xdr:rowOff>28575</xdr:rowOff>
                  </from>
                  <to>
                    <xdr:col>6</xdr:col>
                    <xdr:colOff>552450</xdr:colOff>
                    <xdr:row>76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3" r:id="rId44" name="Check Box 71">
              <controlPr defaultSize="0" autoFill="0" autoLine="0" autoPict="0">
                <anchor moveWithCells="1">
                  <from>
                    <xdr:col>4</xdr:col>
                    <xdr:colOff>180975</xdr:colOff>
                    <xdr:row>81</xdr:row>
                    <xdr:rowOff>9525</xdr:rowOff>
                  </from>
                  <to>
                    <xdr:col>4</xdr:col>
                    <xdr:colOff>581025</xdr:colOff>
                    <xdr:row>81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4" r:id="rId45" name="Check Box 72">
              <controlPr defaultSize="0" autoFill="0" autoLine="0" autoPict="0">
                <anchor moveWithCells="1">
                  <from>
                    <xdr:col>4</xdr:col>
                    <xdr:colOff>809625</xdr:colOff>
                    <xdr:row>81</xdr:row>
                    <xdr:rowOff>28575</xdr:rowOff>
                  </from>
                  <to>
                    <xdr:col>5</xdr:col>
                    <xdr:colOff>266700</xdr:colOff>
                    <xdr:row>81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5" r:id="rId46" name="Check Box 73">
              <controlPr defaultSize="0" autoFill="0" autoLine="0" autoPict="0">
                <anchor moveWithCells="1">
                  <from>
                    <xdr:col>5</xdr:col>
                    <xdr:colOff>209550</xdr:colOff>
                    <xdr:row>81</xdr:row>
                    <xdr:rowOff>28575</xdr:rowOff>
                  </from>
                  <to>
                    <xdr:col>6</xdr:col>
                    <xdr:colOff>552450</xdr:colOff>
                    <xdr:row>81</xdr:row>
                    <xdr:rowOff>295275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6" r:id="rId47" name="Check Box 74">
              <controlPr defaultSize="0" autoFill="0" autoLine="0" autoPict="0">
                <anchor moveWithCells="1">
                  <from>
                    <xdr:col>4</xdr:col>
                    <xdr:colOff>180975</xdr:colOff>
                    <xdr:row>84</xdr:row>
                    <xdr:rowOff>9525</xdr:rowOff>
                  </from>
                  <to>
                    <xdr:col>4</xdr:col>
                    <xdr:colOff>581025</xdr:colOff>
                    <xdr:row>84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7" r:id="rId48" name="Check Box 75">
              <controlPr defaultSize="0" autoFill="0" autoLine="0" autoPict="0">
                <anchor moveWithCells="1">
                  <from>
                    <xdr:col>4</xdr:col>
                    <xdr:colOff>809625</xdr:colOff>
                    <xdr:row>84</xdr:row>
                    <xdr:rowOff>28575</xdr:rowOff>
                  </from>
                  <to>
                    <xdr:col>5</xdr:col>
                    <xdr:colOff>266700</xdr:colOff>
                    <xdr:row>84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8" r:id="rId49" name="Check Box 76">
              <controlPr defaultSize="0" autoFill="0" autoLine="0" autoPict="0">
                <anchor moveWithCells="1">
                  <from>
                    <xdr:col>5</xdr:col>
                    <xdr:colOff>209550</xdr:colOff>
                    <xdr:row>84</xdr:row>
                    <xdr:rowOff>28575</xdr:rowOff>
                  </from>
                  <to>
                    <xdr:col>6</xdr:col>
                    <xdr:colOff>552450</xdr:colOff>
                    <xdr:row>84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9" r:id="rId50" name="Check Box 77">
              <controlPr defaultSize="0" autoFill="0" autoLine="0" autoPict="0">
                <anchor moveWithCells="1">
                  <from>
                    <xdr:col>4</xdr:col>
                    <xdr:colOff>180975</xdr:colOff>
                    <xdr:row>87</xdr:row>
                    <xdr:rowOff>9525</xdr:rowOff>
                  </from>
                  <to>
                    <xdr:col>4</xdr:col>
                    <xdr:colOff>581025</xdr:colOff>
                    <xdr:row>87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0" r:id="rId51" name="Check Box 78">
              <controlPr defaultSize="0" autoFill="0" autoLine="0" autoPict="0">
                <anchor moveWithCells="1">
                  <from>
                    <xdr:col>4</xdr:col>
                    <xdr:colOff>809625</xdr:colOff>
                    <xdr:row>87</xdr:row>
                    <xdr:rowOff>28575</xdr:rowOff>
                  </from>
                  <to>
                    <xdr:col>5</xdr:col>
                    <xdr:colOff>266700</xdr:colOff>
                    <xdr:row>87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1" r:id="rId52" name="Check Box 79">
              <controlPr defaultSize="0" autoFill="0" autoLine="0" autoPict="0">
                <anchor moveWithCells="1">
                  <from>
                    <xdr:col>5</xdr:col>
                    <xdr:colOff>209550</xdr:colOff>
                    <xdr:row>87</xdr:row>
                    <xdr:rowOff>28575</xdr:rowOff>
                  </from>
                  <to>
                    <xdr:col>6</xdr:col>
                    <xdr:colOff>552450</xdr:colOff>
                    <xdr:row>87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2" r:id="rId53" name="Check Box 80">
              <controlPr defaultSize="0" autoFill="0" autoLine="0" autoPict="0">
                <anchor moveWithCells="1">
                  <from>
                    <xdr:col>4</xdr:col>
                    <xdr:colOff>180975</xdr:colOff>
                    <xdr:row>90</xdr:row>
                    <xdr:rowOff>9525</xdr:rowOff>
                  </from>
                  <to>
                    <xdr:col>4</xdr:col>
                    <xdr:colOff>581025</xdr:colOff>
                    <xdr:row>90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3" r:id="rId54" name="Check Box 81">
              <controlPr defaultSize="0" autoFill="0" autoLine="0" autoPict="0">
                <anchor moveWithCells="1">
                  <from>
                    <xdr:col>4</xdr:col>
                    <xdr:colOff>809625</xdr:colOff>
                    <xdr:row>90</xdr:row>
                    <xdr:rowOff>28575</xdr:rowOff>
                  </from>
                  <to>
                    <xdr:col>5</xdr:col>
                    <xdr:colOff>266700</xdr:colOff>
                    <xdr:row>90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4" r:id="rId55" name="Check Box 82">
              <controlPr defaultSize="0" autoFill="0" autoLine="0" autoPict="0">
                <anchor moveWithCells="1">
                  <from>
                    <xdr:col>5</xdr:col>
                    <xdr:colOff>266700</xdr:colOff>
                    <xdr:row>90</xdr:row>
                    <xdr:rowOff>28575</xdr:rowOff>
                  </from>
                  <to>
                    <xdr:col>6</xdr:col>
                    <xdr:colOff>609600</xdr:colOff>
                    <xdr:row>90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6" r:id="rId56" name="Check Box 84">
              <controlPr defaultSize="0" autoFill="0" autoLine="0" autoPict="0">
                <anchor moveWithCells="1">
                  <from>
                    <xdr:col>4</xdr:col>
                    <xdr:colOff>180975</xdr:colOff>
                    <xdr:row>20</xdr:row>
                    <xdr:rowOff>9525</xdr:rowOff>
                  </from>
                  <to>
                    <xdr:col>4</xdr:col>
                    <xdr:colOff>581025</xdr:colOff>
                    <xdr:row>21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7" r:id="rId57" name="Check Box 85">
              <controlPr defaultSize="0" autoFill="0" autoLine="0" autoPict="0">
                <anchor moveWithCells="1">
                  <from>
                    <xdr:col>4</xdr:col>
                    <xdr:colOff>180975</xdr:colOff>
                    <xdr:row>23</xdr:row>
                    <xdr:rowOff>9525</xdr:rowOff>
                  </from>
                  <to>
                    <xdr:col>4</xdr:col>
                    <xdr:colOff>581025</xdr:colOff>
                    <xdr:row>24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8" r:id="rId58" name="Check Box 86">
              <controlPr defaultSize="0" autoFill="0" autoLine="0" autoPict="0">
                <anchor moveWithCells="1">
                  <from>
                    <xdr:col>4</xdr:col>
                    <xdr:colOff>180975</xdr:colOff>
                    <xdr:row>26</xdr:row>
                    <xdr:rowOff>9525</xdr:rowOff>
                  </from>
                  <to>
                    <xdr:col>4</xdr:col>
                    <xdr:colOff>581025</xdr:colOff>
                    <xdr:row>27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9" r:id="rId59" name="Check Box 87">
              <controlPr defaultSize="0" autoFill="0" autoLine="0" autoPict="0">
                <anchor moveWithCells="1">
                  <from>
                    <xdr:col>4</xdr:col>
                    <xdr:colOff>180975</xdr:colOff>
                    <xdr:row>29</xdr:row>
                    <xdr:rowOff>9525</xdr:rowOff>
                  </from>
                  <to>
                    <xdr:col>4</xdr:col>
                    <xdr:colOff>581025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0" r:id="rId60" name="Check Box 88">
              <controlPr defaultSize="0" autoFill="0" autoLine="0" autoPict="0">
                <anchor moveWithCells="1">
                  <from>
                    <xdr:col>4</xdr:col>
                    <xdr:colOff>180975</xdr:colOff>
                    <xdr:row>38</xdr:row>
                    <xdr:rowOff>9525</xdr:rowOff>
                  </from>
                  <to>
                    <xdr:col>4</xdr:col>
                    <xdr:colOff>581025</xdr:colOff>
                    <xdr:row>38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1" r:id="rId61" name="Check Box 89">
              <controlPr defaultSize="0" autoFill="0" autoLine="0" autoPict="0">
                <anchor moveWithCells="1">
                  <from>
                    <xdr:col>4</xdr:col>
                    <xdr:colOff>180975</xdr:colOff>
                    <xdr:row>32</xdr:row>
                    <xdr:rowOff>9525</xdr:rowOff>
                  </from>
                  <to>
                    <xdr:col>4</xdr:col>
                    <xdr:colOff>581025</xdr:colOff>
                    <xdr:row>32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2" r:id="rId62" name="Check Box 90">
              <controlPr defaultSize="0" autoFill="0" autoLine="0" autoPict="0">
                <anchor moveWithCells="1">
                  <from>
                    <xdr:col>4</xdr:col>
                    <xdr:colOff>809625</xdr:colOff>
                    <xdr:row>32</xdr:row>
                    <xdr:rowOff>28575</xdr:rowOff>
                  </from>
                  <to>
                    <xdr:col>5</xdr:col>
                    <xdr:colOff>266700</xdr:colOff>
                    <xdr:row>32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3" r:id="rId63" name="Check Box 91">
              <controlPr defaultSize="0" autoFill="0" autoLine="0" autoPict="0">
                <anchor moveWithCells="1">
                  <from>
                    <xdr:col>5</xdr:col>
                    <xdr:colOff>209550</xdr:colOff>
                    <xdr:row>32</xdr:row>
                    <xdr:rowOff>28575</xdr:rowOff>
                  </from>
                  <to>
                    <xdr:col>6</xdr:col>
                    <xdr:colOff>552450</xdr:colOff>
                    <xdr:row>32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4" r:id="rId64" name="Check Box 92">
              <controlPr defaultSize="0" autoFill="0" autoLine="0" autoPict="0">
                <anchor moveWithCells="1">
                  <from>
                    <xdr:col>4</xdr:col>
                    <xdr:colOff>180975</xdr:colOff>
                    <xdr:row>32</xdr:row>
                    <xdr:rowOff>9525</xdr:rowOff>
                  </from>
                  <to>
                    <xdr:col>4</xdr:col>
                    <xdr:colOff>581025</xdr:colOff>
                    <xdr:row>32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5" r:id="rId65" name="Check Box 93">
              <controlPr defaultSize="0" autoFill="0" autoLine="0" autoPict="0">
                <anchor moveWithCells="1">
                  <from>
                    <xdr:col>4</xdr:col>
                    <xdr:colOff>180975</xdr:colOff>
                    <xdr:row>35</xdr:row>
                    <xdr:rowOff>9525</xdr:rowOff>
                  </from>
                  <to>
                    <xdr:col>4</xdr:col>
                    <xdr:colOff>581025</xdr:colOff>
                    <xdr:row>35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6" r:id="rId66" name="Check Box 94">
              <controlPr defaultSize="0" autoFill="0" autoLine="0" autoPict="0">
                <anchor moveWithCells="1">
                  <from>
                    <xdr:col>4</xdr:col>
                    <xdr:colOff>809625</xdr:colOff>
                    <xdr:row>35</xdr:row>
                    <xdr:rowOff>28575</xdr:rowOff>
                  </from>
                  <to>
                    <xdr:col>5</xdr:col>
                    <xdr:colOff>266700</xdr:colOff>
                    <xdr:row>35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7" r:id="rId67" name="Check Box 95">
              <controlPr defaultSize="0" autoFill="0" autoLine="0" autoPict="0">
                <anchor moveWithCells="1">
                  <from>
                    <xdr:col>5</xdr:col>
                    <xdr:colOff>209550</xdr:colOff>
                    <xdr:row>35</xdr:row>
                    <xdr:rowOff>28575</xdr:rowOff>
                  </from>
                  <to>
                    <xdr:col>6</xdr:col>
                    <xdr:colOff>552450</xdr:colOff>
                    <xdr:row>35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8" r:id="rId68" name="Check Box 96">
              <controlPr defaultSize="0" autoFill="0" autoLine="0" autoPict="0">
                <anchor moveWithCells="1">
                  <from>
                    <xdr:col>4</xdr:col>
                    <xdr:colOff>180975</xdr:colOff>
                    <xdr:row>35</xdr:row>
                    <xdr:rowOff>9525</xdr:rowOff>
                  </from>
                  <to>
                    <xdr:col>4</xdr:col>
                    <xdr:colOff>581025</xdr:colOff>
                    <xdr:row>35</xdr:row>
                    <xdr:rowOff>276225</xdr:rowOff>
                  </to>
                </anchor>
              </controlPr>
            </control>
          </mc:Choice>
        </mc:AlternateContent>
      </controls>
    </mc:Choice>
  </mc:AlternateContent>
  <tableParts count="1">
    <tablePart r:id="rId6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B6959-A07C-43F0-BF18-12E3FDCE59FE}">
  <dimension ref="A1:G27"/>
  <sheetViews>
    <sheetView workbookViewId="0">
      <selection activeCell="D34" sqref="D34"/>
    </sheetView>
  </sheetViews>
  <sheetFormatPr baseColWidth="10" defaultRowHeight="15.75" x14ac:dyDescent="0.25"/>
  <cols>
    <col min="1" max="3" width="11.42578125" style="17"/>
    <col min="4" max="4" width="18.42578125" style="17" bestFit="1" customWidth="1"/>
    <col min="5" max="6" width="11.42578125" style="17"/>
    <col min="7" max="7" width="19.7109375" style="17" bestFit="1" customWidth="1"/>
  </cols>
  <sheetData>
    <row r="1" spans="1:7" ht="16.5" thickBot="1" x14ac:dyDescent="0.3"/>
    <row r="2" spans="1:7" ht="15.75" customHeight="1" x14ac:dyDescent="0.25">
      <c r="A2" s="182" t="s">
        <v>57</v>
      </c>
      <c r="B2" s="183"/>
      <c r="C2" s="183"/>
      <c r="D2" s="183"/>
      <c r="E2" s="183"/>
      <c r="F2" s="184"/>
      <c r="G2" s="188" t="s">
        <v>7</v>
      </c>
    </row>
    <row r="3" spans="1:7" ht="15.75" customHeight="1" thickBot="1" x14ac:dyDescent="0.3">
      <c r="A3" s="185"/>
      <c r="B3" s="186"/>
      <c r="C3" s="186"/>
      <c r="D3" s="186"/>
      <c r="E3" s="186"/>
      <c r="F3" s="187"/>
      <c r="G3" s="189"/>
    </row>
    <row r="4" spans="1:7" ht="23.25" customHeight="1" thickBot="1" x14ac:dyDescent="0.3">
      <c r="A4" s="18" t="s">
        <v>65</v>
      </c>
      <c r="B4" s="18">
        <v>262</v>
      </c>
      <c r="C4" s="18"/>
      <c r="D4" s="18"/>
      <c r="E4" s="18"/>
      <c r="F4" s="6"/>
      <c r="G4" s="18"/>
    </row>
    <row r="5" spans="1:7" s="5" customFormat="1" ht="33.75" customHeight="1" thickBot="1" x14ac:dyDescent="0.3">
      <c r="A5" s="7" t="s">
        <v>58</v>
      </c>
      <c r="B5" s="7" t="s">
        <v>59</v>
      </c>
      <c r="C5" s="7" t="s">
        <v>60</v>
      </c>
      <c r="D5" s="7" t="s">
        <v>61</v>
      </c>
      <c r="E5" s="7" t="s">
        <v>33</v>
      </c>
      <c r="F5" s="7" t="s">
        <v>62</v>
      </c>
      <c r="G5" s="7" t="s">
        <v>63</v>
      </c>
    </row>
    <row r="6" spans="1:7" x14ac:dyDescent="0.25">
      <c r="A6" s="8">
        <v>1</v>
      </c>
      <c r="B6" s="9"/>
      <c r="C6" s="9"/>
      <c r="D6" s="9"/>
      <c r="E6" s="9"/>
      <c r="F6" s="9"/>
      <c r="G6" s="10"/>
    </row>
    <row r="7" spans="1:7" x14ac:dyDescent="0.25">
      <c r="A7" s="11">
        <v>2</v>
      </c>
      <c r="B7" s="12"/>
      <c r="C7" s="12"/>
      <c r="D7" s="12"/>
      <c r="E7" s="12"/>
      <c r="F7" s="12"/>
      <c r="G7" s="13"/>
    </row>
    <row r="8" spans="1:7" x14ac:dyDescent="0.25">
      <c r="A8" s="11">
        <v>3</v>
      </c>
      <c r="B8" s="12"/>
      <c r="C8" s="12"/>
      <c r="D8" s="12"/>
      <c r="E8" s="12"/>
      <c r="F8" s="12"/>
      <c r="G8" s="13"/>
    </row>
    <row r="9" spans="1:7" x14ac:dyDescent="0.25">
      <c r="A9" s="11">
        <v>4</v>
      </c>
      <c r="B9" s="12"/>
      <c r="C9" s="12"/>
      <c r="D9" s="12"/>
      <c r="E9" s="12"/>
      <c r="F9" s="12"/>
      <c r="G9" s="13"/>
    </row>
    <row r="10" spans="1:7" x14ac:dyDescent="0.25">
      <c r="A10" s="11">
        <v>5</v>
      </c>
      <c r="B10" s="12"/>
      <c r="C10" s="12"/>
      <c r="D10" s="12"/>
      <c r="E10" s="12"/>
      <c r="F10" s="12"/>
      <c r="G10" s="13"/>
    </row>
    <row r="11" spans="1:7" x14ac:dyDescent="0.25">
      <c r="A11" s="11">
        <v>6</v>
      </c>
      <c r="B11" s="12"/>
      <c r="C11" s="12"/>
      <c r="D11" s="12"/>
      <c r="E11" s="12"/>
      <c r="F11" s="12"/>
      <c r="G11" s="13"/>
    </row>
    <row r="12" spans="1:7" x14ac:dyDescent="0.25">
      <c r="A12" s="11">
        <v>7</v>
      </c>
      <c r="B12" s="12"/>
      <c r="C12" s="12"/>
      <c r="D12" s="12"/>
      <c r="E12" s="12"/>
      <c r="F12" s="12"/>
      <c r="G12" s="13"/>
    </row>
    <row r="13" spans="1:7" x14ac:dyDescent="0.25">
      <c r="A13" s="11">
        <v>8</v>
      </c>
      <c r="B13" s="12"/>
      <c r="C13" s="12"/>
      <c r="D13" s="12"/>
      <c r="E13" s="12"/>
      <c r="F13" s="12"/>
      <c r="G13" s="13"/>
    </row>
    <row r="14" spans="1:7" x14ac:dyDescent="0.25">
      <c r="A14" s="11">
        <v>9</v>
      </c>
      <c r="B14" s="12"/>
      <c r="C14" s="12"/>
      <c r="D14" s="12"/>
      <c r="E14" s="12"/>
      <c r="F14" s="12"/>
      <c r="G14" s="13"/>
    </row>
    <row r="15" spans="1:7" x14ac:dyDescent="0.25">
      <c r="A15" s="11">
        <v>10</v>
      </c>
      <c r="B15" s="12"/>
      <c r="C15" s="12"/>
      <c r="D15" s="12"/>
      <c r="E15" s="12"/>
      <c r="F15" s="12"/>
      <c r="G15" s="13"/>
    </row>
    <row r="16" spans="1:7" x14ac:dyDescent="0.25">
      <c r="A16" s="11">
        <v>11</v>
      </c>
      <c r="B16" s="12"/>
      <c r="C16" s="12"/>
      <c r="D16" s="12"/>
      <c r="E16" s="12"/>
      <c r="F16" s="12"/>
      <c r="G16" s="13"/>
    </row>
    <row r="17" spans="1:7" x14ac:dyDescent="0.25">
      <c r="A17" s="11">
        <v>12</v>
      </c>
      <c r="B17" s="12"/>
      <c r="C17" s="12"/>
      <c r="D17" s="12"/>
      <c r="E17" s="12"/>
      <c r="F17" s="12"/>
      <c r="G17" s="13"/>
    </row>
    <row r="18" spans="1:7" x14ac:dyDescent="0.25">
      <c r="A18" s="11">
        <v>13</v>
      </c>
      <c r="B18" s="12"/>
      <c r="C18" s="12"/>
      <c r="D18" s="12"/>
      <c r="E18" s="12"/>
      <c r="F18" s="12"/>
      <c r="G18" s="13"/>
    </row>
    <row r="19" spans="1:7" x14ac:dyDescent="0.25">
      <c r="A19" s="11">
        <v>14</v>
      </c>
      <c r="B19" s="12"/>
      <c r="C19" s="12"/>
      <c r="D19" s="12"/>
      <c r="E19" s="12"/>
      <c r="F19" s="12"/>
      <c r="G19" s="13"/>
    </row>
    <row r="20" spans="1:7" x14ac:dyDescent="0.25">
      <c r="A20" s="11">
        <v>15</v>
      </c>
      <c r="B20" s="12"/>
      <c r="C20" s="12"/>
      <c r="D20" s="12"/>
      <c r="E20" s="12"/>
      <c r="F20" s="12"/>
      <c r="G20" s="13"/>
    </row>
    <row r="21" spans="1:7" x14ac:dyDescent="0.25">
      <c r="A21" s="11">
        <v>16</v>
      </c>
      <c r="B21" s="12"/>
      <c r="C21" s="12"/>
      <c r="D21" s="12"/>
      <c r="E21" s="12"/>
      <c r="F21" s="12"/>
      <c r="G21" s="13"/>
    </row>
    <row r="22" spans="1:7" x14ac:dyDescent="0.25">
      <c r="A22" s="11">
        <v>17</v>
      </c>
      <c r="B22" s="12"/>
      <c r="C22" s="12"/>
      <c r="D22" s="12"/>
      <c r="E22" s="12"/>
      <c r="F22" s="12"/>
      <c r="G22" s="13"/>
    </row>
    <row r="23" spans="1:7" x14ac:dyDescent="0.25">
      <c r="A23" s="11">
        <v>18</v>
      </c>
      <c r="B23" s="12"/>
      <c r="C23" s="12"/>
      <c r="D23" s="12"/>
      <c r="E23" s="12"/>
      <c r="F23" s="12"/>
      <c r="G23" s="13"/>
    </row>
    <row r="24" spans="1:7" x14ac:dyDescent="0.25">
      <c r="A24" s="11">
        <v>19</v>
      </c>
      <c r="B24" s="12"/>
      <c r="C24" s="12"/>
      <c r="D24" s="12"/>
      <c r="E24" s="12"/>
      <c r="F24" s="12"/>
      <c r="G24" s="13"/>
    </row>
    <row r="25" spans="1:7" x14ac:dyDescent="0.25">
      <c r="A25" s="11">
        <v>20</v>
      </c>
      <c r="B25" s="12"/>
      <c r="C25" s="12"/>
      <c r="D25" s="12"/>
      <c r="E25" s="12"/>
      <c r="F25" s="12"/>
      <c r="G25" s="13"/>
    </row>
    <row r="26" spans="1:7" x14ac:dyDescent="0.25">
      <c r="A26" s="11">
        <v>21</v>
      </c>
      <c r="B26" s="12"/>
      <c r="C26" s="12"/>
      <c r="D26" s="12"/>
      <c r="E26" s="12"/>
      <c r="F26" s="12"/>
      <c r="G26" s="13"/>
    </row>
    <row r="27" spans="1:7" ht="16.5" thickBot="1" x14ac:dyDescent="0.3">
      <c r="A27" s="14">
        <v>22</v>
      </c>
      <c r="B27" s="15"/>
      <c r="C27" s="15"/>
      <c r="D27" s="15"/>
      <c r="E27" s="15"/>
      <c r="F27" s="15"/>
      <c r="G27" s="16"/>
    </row>
  </sheetData>
  <mergeCells count="2">
    <mergeCell ref="A2:F3"/>
    <mergeCell ref="G2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FT-IG-01</vt:lpstr>
      <vt:lpstr>REV01INGH2</vt:lpstr>
      <vt:lpstr>'FT-IG-01'!Área_de_impresión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MCVILL '</cp:lastModifiedBy>
  <cp:lastPrinted>2024-06-06T16:33:26Z</cp:lastPrinted>
  <dcterms:created xsi:type="dcterms:W3CDTF">2019-04-01T23:54:30Z</dcterms:created>
  <dcterms:modified xsi:type="dcterms:W3CDTF">2025-06-26T16:48:35Z</dcterms:modified>
</cp:coreProperties>
</file>